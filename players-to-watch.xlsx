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Github\World-Cup-2026-\"/>
    </mc:Choice>
  </mc:AlternateContent>
  <xr:revisionPtr revIDLastSave="0" documentId="13_ncr:1_{3FB36E06-2FF5-4F48-9AA1-6CC632C264D3}" xr6:coauthVersionLast="47" xr6:coauthVersionMax="47" xr10:uidLastSave="{00000000-0000-0000-0000-000000000000}"/>
  <bookViews>
    <workbookView xWindow="10140" yWindow="0" windowWidth="10455" windowHeight="10905" tabRatio="620" xr2:uid="{00000000-000D-0000-FFFF-FFFF00000000}"/>
  </bookViews>
  <sheets>
    <sheet name="players_information" sheetId="6" r:id="rId1"/>
    <sheet name="player_position" sheetId="7" r:id="rId2"/>
  </sheets>
  <definedNames>
    <definedName name="_xlnm._FilterDatabase" localSheetId="1" hidden="1">player_position!$A$1:$D$102</definedName>
    <definedName name="_xlnm._FilterDatabase" localSheetId="0" hidden="1">players_information!$A$1:$L$51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6" l="1"/>
  <c r="B25" i="6"/>
  <c r="B26" i="6"/>
  <c r="B41" i="6"/>
  <c r="B50" i="6"/>
  <c r="B24" i="6"/>
  <c r="B51" i="6"/>
  <c r="B13" i="6"/>
  <c r="B8" i="6"/>
  <c r="B31" i="6"/>
  <c r="B14" i="6"/>
  <c r="B5" i="6"/>
  <c r="B45" i="6"/>
  <c r="B11" i="6"/>
  <c r="B43" i="6"/>
  <c r="B9" i="6"/>
  <c r="B19" i="6"/>
  <c r="B29" i="6"/>
  <c r="B10" i="6"/>
  <c r="B20" i="6"/>
  <c r="B40" i="6"/>
  <c r="B21" i="6"/>
  <c r="B23" i="6"/>
  <c r="B34" i="6"/>
  <c r="B35" i="6"/>
  <c r="B7" i="6"/>
  <c r="B37" i="6"/>
  <c r="B46" i="6"/>
  <c r="B6" i="6"/>
  <c r="B2" i="6"/>
  <c r="B28" i="6"/>
  <c r="B32" i="6"/>
  <c r="B4" i="6"/>
  <c r="B15" i="6"/>
  <c r="B22" i="6"/>
  <c r="B12" i="6"/>
  <c r="B48" i="6"/>
  <c r="B47" i="6"/>
  <c r="B49" i="6"/>
  <c r="B16" i="6"/>
  <c r="B42" i="6"/>
  <c r="B17" i="6"/>
  <c r="B39" i="6"/>
  <c r="B18" i="6"/>
  <c r="B33" i="6"/>
  <c r="B3" i="6"/>
  <c r="B27" i="6"/>
  <c r="B30" i="6"/>
  <c r="B38" i="6"/>
  <c r="B44" i="6"/>
</calcChain>
</file>

<file path=xl/sharedStrings.xml><?xml version="1.0" encoding="utf-8"?>
<sst xmlns="http://schemas.openxmlformats.org/spreadsheetml/2006/main" count="468" uniqueCount="243">
  <si>
    <t>player_name</t>
  </si>
  <si>
    <t>CONCACAF</t>
  </si>
  <si>
    <t>country</t>
  </si>
  <si>
    <t>Mexico</t>
  </si>
  <si>
    <t>Gilberto Mora</t>
  </si>
  <si>
    <t>Canada</t>
  </si>
  <si>
    <t>Promise David</t>
  </si>
  <si>
    <t>Niko Sigur</t>
  </si>
  <si>
    <t>Sergino Dest</t>
  </si>
  <si>
    <t>Ricardo Pepi</t>
  </si>
  <si>
    <t>Tyler Adams</t>
  </si>
  <si>
    <t>Haiti</t>
  </si>
  <si>
    <t>Allan Saint-Maximin</t>
  </si>
  <si>
    <t>Ecuador</t>
  </si>
  <si>
    <t>Willian Pacho</t>
  </si>
  <si>
    <t>Enner Valencia</t>
  </si>
  <si>
    <t>Colombia</t>
  </si>
  <si>
    <t>Daniel Munoz</t>
  </si>
  <si>
    <t>Richard Rios</t>
  </si>
  <si>
    <t>Paraguay</t>
  </si>
  <si>
    <t>Omar Alderete</t>
  </si>
  <si>
    <t>Argentina</t>
  </si>
  <si>
    <t>Nico Paz</t>
  </si>
  <si>
    <t>Valentin Barco</t>
  </si>
  <si>
    <t>Brazil</t>
  </si>
  <si>
    <t>Estevao</t>
  </si>
  <si>
    <t>Uruguay</t>
  </si>
  <si>
    <t>Arrascaeta</t>
  </si>
  <si>
    <t>Luciano Rodriguez</t>
  </si>
  <si>
    <t>DR Congo</t>
  </si>
  <si>
    <t>Noah Sadiki</t>
  </si>
  <si>
    <t>Morocco</t>
  </si>
  <si>
    <t>Brahim Diaz</t>
  </si>
  <si>
    <t>Ivory Coast</t>
  </si>
  <si>
    <t>Yan Diomande</t>
  </si>
  <si>
    <t>Egypt</t>
  </si>
  <si>
    <t>Mohammed Salah</t>
  </si>
  <si>
    <t>Cape Verde</t>
  </si>
  <si>
    <t>Roberto Lopes</t>
  </si>
  <si>
    <t>Senegal</t>
  </si>
  <si>
    <t>Malick Diouf</t>
  </si>
  <si>
    <t>Algeria</t>
  </si>
  <si>
    <t>Ibrahim Maza</t>
  </si>
  <si>
    <t>Mohamed Amoura</t>
  </si>
  <si>
    <t>Ghana</t>
  </si>
  <si>
    <t>Thomas-Asante</t>
  </si>
  <si>
    <t>England</t>
  </si>
  <si>
    <t>Stephan Eustaquio</t>
  </si>
  <si>
    <t>confederation_code</t>
  </si>
  <si>
    <t>CONMEBOL</t>
  </si>
  <si>
    <t>Wilson isidor</t>
  </si>
  <si>
    <t>Raul Jimenez</t>
  </si>
  <si>
    <t>Norway</t>
  </si>
  <si>
    <t>Jens Petter Hauge</t>
  </si>
  <si>
    <t>Germany</t>
  </si>
  <si>
    <t>Scotland</t>
  </si>
  <si>
    <t>Scott McTominay</t>
  </si>
  <si>
    <t>France</t>
  </si>
  <si>
    <t>Desire Doue</t>
  </si>
  <si>
    <t>Spain</t>
  </si>
  <si>
    <t>Lamine Yamal</t>
  </si>
  <si>
    <t>Croatia</t>
  </si>
  <si>
    <t>Luka Vuskovic</t>
  </si>
  <si>
    <t>Martin Baturina</t>
  </si>
  <si>
    <t>Said El Mala</t>
  </si>
  <si>
    <t>Austria</t>
  </si>
  <si>
    <t>Leopold Querfeld</t>
  </si>
  <si>
    <t>Netherlands</t>
  </si>
  <si>
    <t>Robin Roefs</t>
  </si>
  <si>
    <t>UEFA</t>
  </si>
  <si>
    <t>Australia</t>
  </si>
  <si>
    <t>Nestory Irankunda</t>
  </si>
  <si>
    <t>AFC</t>
  </si>
  <si>
    <t>Jordan</t>
  </si>
  <si>
    <t>Japan</t>
  </si>
  <si>
    <t>Ayase Ueda</t>
  </si>
  <si>
    <t>South Korea</t>
  </si>
  <si>
    <t>Lee-Kang In</t>
  </si>
  <si>
    <t>Jordan Bos</t>
  </si>
  <si>
    <t>Qatar</t>
  </si>
  <si>
    <t>Akram Afif</t>
  </si>
  <si>
    <t>Uzbekistan</t>
  </si>
  <si>
    <t>Abdukodir Khusanov</t>
  </si>
  <si>
    <t>Take Kubo</t>
  </si>
  <si>
    <t>New Zealand</t>
  </si>
  <si>
    <t>Chris Wood</t>
  </si>
  <si>
    <t>Hwang In-Beom</t>
  </si>
  <si>
    <t>CAF</t>
  </si>
  <si>
    <t>position</t>
  </si>
  <si>
    <t>age</t>
  </si>
  <si>
    <t>nationality_img</t>
  </si>
  <si>
    <t>team_img</t>
  </si>
  <si>
    <t>player_img</t>
  </si>
  <si>
    <t>apps_country</t>
  </si>
  <si>
    <t>id_players</t>
  </si>
  <si>
    <t>key_id</t>
  </si>
  <si>
    <t>Adam Wharton</t>
  </si>
  <si>
    <t>ST</t>
  </si>
  <si>
    <t>CAF-1</t>
  </si>
  <si>
    <t>CAF-2</t>
  </si>
  <si>
    <t>CAF-3</t>
  </si>
  <si>
    <t>CAF-4</t>
  </si>
  <si>
    <t>CAF-5</t>
  </si>
  <si>
    <t>CAF-6</t>
  </si>
  <si>
    <t>CAF-7</t>
  </si>
  <si>
    <t>CAF-8</t>
  </si>
  <si>
    <t>CAF-9</t>
  </si>
  <si>
    <t>CAF-10</t>
  </si>
  <si>
    <t>CONMEBOL-11</t>
  </si>
  <si>
    <t>CONMEBOL-12</t>
  </si>
  <si>
    <t>CONMEBOL-13</t>
  </si>
  <si>
    <t>CONMEBOL-14</t>
  </si>
  <si>
    <t>CONMEBOL-15</t>
  </si>
  <si>
    <t>CONMEBOL-16</t>
  </si>
  <si>
    <t>CONMEBOL-17</t>
  </si>
  <si>
    <t>CONMEBOL-18</t>
  </si>
  <si>
    <t>CONMEBOL-19</t>
  </si>
  <si>
    <t>CONMEBOL-20</t>
  </si>
  <si>
    <t>CONCACAF-21</t>
  </si>
  <si>
    <t>CONCACAF-22</t>
  </si>
  <si>
    <t>CONCACAF-23</t>
  </si>
  <si>
    <t>CONCACAF-24</t>
  </si>
  <si>
    <t>CONCACAF-25</t>
  </si>
  <si>
    <t>CONCACAF-26</t>
  </si>
  <si>
    <t>CONCACAF-27</t>
  </si>
  <si>
    <t>CONCACAF-28</t>
  </si>
  <si>
    <t>CONCACAF-29</t>
  </si>
  <si>
    <t>CONCACAF-30</t>
  </si>
  <si>
    <t>UEFA-31</t>
  </si>
  <si>
    <t>UEFA-32</t>
  </si>
  <si>
    <t>UEFA-33</t>
  </si>
  <si>
    <t>UEFA-34</t>
  </si>
  <si>
    <t>UEFA-35</t>
  </si>
  <si>
    <t>UEFA-36</t>
  </si>
  <si>
    <t>UEFA-37</t>
  </si>
  <si>
    <t>UEFA-38</t>
  </si>
  <si>
    <t>UEFA-39</t>
  </si>
  <si>
    <t>UEFA-40</t>
  </si>
  <si>
    <t>AFC-41</t>
  </si>
  <si>
    <t>AFC-42</t>
  </si>
  <si>
    <t>AFC-43</t>
  </si>
  <si>
    <t>AFC-44</t>
  </si>
  <si>
    <t>AFC-45</t>
  </si>
  <si>
    <t>AFC-46</t>
  </si>
  <si>
    <t>AFC-47</t>
  </si>
  <si>
    <t>AFC-48</t>
  </si>
  <si>
    <t>AFC-49</t>
  </si>
  <si>
    <t>AFC-50</t>
  </si>
  <si>
    <t>CDM</t>
  </si>
  <si>
    <t>CM</t>
  </si>
  <si>
    <t>SS</t>
  </si>
  <si>
    <t>CAM</t>
  </si>
  <si>
    <t>RW</t>
  </si>
  <si>
    <t>LW</t>
  </si>
  <si>
    <t>CB</t>
  </si>
  <si>
    <t>RB</t>
  </si>
  <si>
    <t>LB</t>
  </si>
  <si>
    <t>LWB</t>
  </si>
  <si>
    <t>CF</t>
  </si>
  <si>
    <t>LCB</t>
  </si>
  <si>
    <t>RWB</t>
  </si>
  <si>
    <t>RCB</t>
  </si>
  <si>
    <t>GK</t>
  </si>
  <si>
    <t>team_name</t>
  </si>
  <si>
    <t>Sunderland AFC</t>
  </si>
  <si>
    <t>height (m)</t>
  </si>
  <si>
    <t>Real Madrid</t>
  </si>
  <si>
    <t>RB Leipzig</t>
  </si>
  <si>
    <t>Shamrock Rovers</t>
  </si>
  <si>
    <t>West Ham United</t>
  </si>
  <si>
    <t>Leverkusen</t>
  </si>
  <si>
    <t>Wolfsburg</t>
  </si>
  <si>
    <t>Antoine Semenyo</t>
  </si>
  <si>
    <t>Man City</t>
  </si>
  <si>
    <t>Liverpool</t>
  </si>
  <si>
    <t>Coventry</t>
  </si>
  <si>
    <t>CF Pachuca</t>
  </si>
  <si>
    <t>PSG</t>
  </si>
  <si>
    <t>Crystal Palace</t>
  </si>
  <si>
    <t>Benfica</t>
  </si>
  <si>
    <t>Como</t>
  </si>
  <si>
    <t>Strassbourg</t>
  </si>
  <si>
    <t>Chelsea</t>
  </si>
  <si>
    <t>Flamengo</t>
  </si>
  <si>
    <t>NEOM S.C</t>
  </si>
  <si>
    <t>Club Tijuana</t>
  </si>
  <si>
    <t>Fulham</t>
  </si>
  <si>
    <t>Royalle Saint-Gilloise</t>
  </si>
  <si>
    <t>Hajduk Split</t>
  </si>
  <si>
    <t>LAFC</t>
  </si>
  <si>
    <t>PSV</t>
  </si>
  <si>
    <t>Bournemouth</t>
  </si>
  <si>
    <t>RC Lens</t>
  </si>
  <si>
    <t>Bodo Glimt</t>
  </si>
  <si>
    <t>1.FC Koln</t>
  </si>
  <si>
    <t>Napoli</t>
  </si>
  <si>
    <t>Barcelona</t>
  </si>
  <si>
    <t>Hamburg SV</t>
  </si>
  <si>
    <t>Union Berlin</t>
  </si>
  <si>
    <t>Watford</t>
  </si>
  <si>
    <t>Feyenoord</t>
  </si>
  <si>
    <t>Mousa Al-Tamari</t>
  </si>
  <si>
    <t>Stade Rennais</t>
  </si>
  <si>
    <t>Real Sociedad</t>
  </si>
  <si>
    <t>Al-Sadd</t>
  </si>
  <si>
    <t>Nottingham Forrest</t>
  </si>
  <si>
    <t>https://hatscripts.github.io/circle-flags/flags/cv.svg</t>
  </si>
  <si>
    <t>https://globalartinc.github.io/round-flags/flags/ma.svg</t>
  </si>
  <si>
    <t>https://globalartinc.github.io/round-flags/flags/ci.svg</t>
  </si>
  <si>
    <t>https://globalartinc.github.io/round-flags/flags/eg.svg</t>
  </si>
  <si>
    <t>https://globalartinc.github.io/round-flags/flags/gh.svg</t>
  </si>
  <si>
    <t>https://globalartinc.github.io/round-flags/flags/sn.svg</t>
  </si>
  <si>
    <t>https://globalartinc.github.io/round-flags/flags/dz.svg</t>
  </si>
  <si>
    <t>https://globalartinc.github.io/round-flags/flags/ec.svg</t>
  </si>
  <si>
    <t>https://globalartinc.github.io/round-flags/flags/co.svg</t>
  </si>
  <si>
    <t>https://globalartinc.github.io/round-flags/flags/py.svg</t>
  </si>
  <si>
    <t>https://globalartinc.github.io/round-flags/flags/ar.svg</t>
  </si>
  <si>
    <t>https://globalartinc.github.io/round-flags/flags/br.svg</t>
  </si>
  <si>
    <t>https://globalartinc.github.io/round-flags/flags/uy.svg</t>
  </si>
  <si>
    <t>https://globalartinc.github.io/round-flags/flags/mx.svg</t>
  </si>
  <si>
    <t>https://globalartinc.github.io/round-flags/flags/ca.svg</t>
  </si>
  <si>
    <t>https://globalartinc.github.io/round-flags/flags/ht.svg</t>
  </si>
  <si>
    <t>https://globalartinc.github.io/round-flags/flags/no.svg</t>
  </si>
  <si>
    <t>https://globalartinc.github.io/round-flags/flags/de.svg</t>
  </si>
  <si>
    <t>https://hatscripts.github.io/circle-flags/flags/gb-sct.svg</t>
  </si>
  <si>
    <t>https://globalartinc.github.io/round-flags/flags/fr.svg</t>
  </si>
  <si>
    <t>https://globalartinc.github.io/round-flags/flags/es.svg</t>
  </si>
  <si>
    <t>https://hatscripts.github.io/circle-flags/flags/gb-eng.svg</t>
  </si>
  <si>
    <t>https://globalartinc.github.io/round-flags/flags/hr.svg</t>
  </si>
  <si>
    <t>https://globalartinc.github.io/round-flags/flags/at.svg</t>
  </si>
  <si>
    <t>https://globalartinc.github.io/round-flags/flags/nl.svg</t>
  </si>
  <si>
    <t>https://globalartinc.github.io/round-flags/flags/au.svg</t>
  </si>
  <si>
    <t>https://hatscripts.github.io/circle-flags/flags/jo.svg</t>
  </si>
  <si>
    <t>https://globalartinc.github.io/round-flags/flags/jp.svg</t>
  </si>
  <si>
    <t>https://globalartinc.github.io/round-flags/flags/kr.svg</t>
  </si>
  <si>
    <t>https://globalartinc.github.io/round-flags/flags/qa.svg</t>
  </si>
  <si>
    <t>https://hatscripts.github.io/circle-flags/flags/uz.svg</t>
  </si>
  <si>
    <t>https://globalartinc.github.io/round-flags/flags/nz.svg</t>
  </si>
  <si>
    <t>https://globalartinc.github.io/round-flags/flags/cd.svg</t>
  </si>
  <si>
    <t>United States</t>
  </si>
  <si>
    <t>x_pos</t>
  </si>
  <si>
    <t>y_pos</t>
  </si>
  <si>
    <t>https://globalartinc.github.io/round-flags/flags/us.svg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</si>
</sst>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E1AA0-E7C7-43C9-A17E-1F80D32546D5}">
  <dimension ref="A1:L51"/>
  <sheetViews>
    <sheetView tabSelected="1" topLeftCell="H1" workbookViewId="0">
      <selection activeCell="M3" sqref="M3"/>
    </sheetView>
  </sheetViews>
  <sheetFormatPr defaultRowHeight="15" x14ac:dyDescent="0.25"/>
  <cols>
    <col min="2" max="2" width="14" bestFit="1" customWidth="1"/>
    <col min="3" max="3" width="12.5703125" bestFit="1" customWidth="1"/>
    <col min="4" max="4" width="19.5703125" bestFit="1" customWidth="1"/>
    <col min="5" max="5" width="21.42578125" bestFit="1" customWidth="1"/>
    <col min="6" max="6" width="15.140625" bestFit="1" customWidth="1"/>
    <col min="7" max="7" width="6.42578125" bestFit="1" customWidth="1"/>
    <col min="8" max="8" width="9" bestFit="1" customWidth="1"/>
    <col min="9" max="9" width="15.140625" bestFit="1" customWidth="1"/>
    <col min="10" max="10" width="52.28515625" hidden="1" customWidth="1"/>
    <col min="11" max="11" width="12.140625" bestFit="1" customWidth="1"/>
    <col min="12" max="12" width="13.140625" bestFit="1" customWidth="1"/>
  </cols>
  <sheetData>
    <row r="1" spans="1:12" x14ac:dyDescent="0.25">
      <c r="A1" t="s">
        <v>95</v>
      </c>
      <c r="B1" t="s">
        <v>94</v>
      </c>
      <c r="C1" t="s">
        <v>2</v>
      </c>
      <c r="D1" t="s">
        <v>0</v>
      </c>
      <c r="E1" t="s">
        <v>48</v>
      </c>
      <c r="F1" t="s">
        <v>93</v>
      </c>
      <c r="G1" t="s">
        <v>89</v>
      </c>
      <c r="H1" t="s">
        <v>165</v>
      </c>
      <c r="I1" t="s">
        <v>163</v>
      </c>
      <c r="J1" t="s">
        <v>90</v>
      </c>
      <c r="K1" t="s">
        <v>91</v>
      </c>
      <c r="L1" t="s">
        <v>92</v>
      </c>
    </row>
    <row r="2" spans="1:12" x14ac:dyDescent="0.25">
      <c r="A2">
        <v>32</v>
      </c>
      <c r="B2" t="str">
        <f>CONCATENATE($E2, "-",$A2)</f>
        <v>UEFA-32</v>
      </c>
      <c r="C2" t="s">
        <v>54</v>
      </c>
      <c r="D2" t="s">
        <v>64</v>
      </c>
      <c r="E2" t="s">
        <v>69</v>
      </c>
      <c r="F2">
        <v>5</v>
      </c>
      <c r="G2">
        <v>19</v>
      </c>
      <c r="H2">
        <v>1.87</v>
      </c>
      <c r="I2" t="s">
        <v>194</v>
      </c>
      <c r="J2" t="s">
        <v>223</v>
      </c>
    </row>
    <row r="3" spans="1:12" x14ac:dyDescent="0.25">
      <c r="A3">
        <v>48</v>
      </c>
      <c r="B3" t="str">
        <f>CONCATENATE($E3, "-",$A3)</f>
        <v>AFC-48</v>
      </c>
      <c r="C3" t="s">
        <v>79</v>
      </c>
      <c r="D3" t="s">
        <v>80</v>
      </c>
      <c r="E3" t="s">
        <v>72</v>
      </c>
      <c r="F3">
        <v>126</v>
      </c>
      <c r="G3">
        <v>29</v>
      </c>
      <c r="H3">
        <v>1.77</v>
      </c>
      <c r="I3" t="s">
        <v>204</v>
      </c>
      <c r="J3" t="s">
        <v>235</v>
      </c>
    </row>
    <row r="4" spans="1:12" x14ac:dyDescent="0.25">
      <c r="A4">
        <v>35</v>
      </c>
      <c r="B4" t="str">
        <f>CONCATENATE($E4, "-",$A4)</f>
        <v>UEFA-35</v>
      </c>
      <c r="C4" t="s">
        <v>59</v>
      </c>
      <c r="D4" t="s">
        <v>60</v>
      </c>
      <c r="E4" t="s">
        <v>69</v>
      </c>
      <c r="F4">
        <v>23</v>
      </c>
      <c r="G4">
        <v>18</v>
      </c>
      <c r="H4">
        <v>1.8</v>
      </c>
      <c r="I4" t="s">
        <v>196</v>
      </c>
      <c r="J4" t="s">
        <v>226</v>
      </c>
    </row>
    <row r="5" spans="1:12" x14ac:dyDescent="0.25">
      <c r="A5">
        <v>14</v>
      </c>
      <c r="B5" t="str">
        <f>CONCATENATE($E5, "-",$A5)</f>
        <v>CONMEBOL-14</v>
      </c>
      <c r="C5" t="s">
        <v>16</v>
      </c>
      <c r="D5" t="s">
        <v>18</v>
      </c>
      <c r="E5" t="s">
        <v>49</v>
      </c>
      <c r="F5">
        <v>28</v>
      </c>
      <c r="G5">
        <v>25</v>
      </c>
      <c r="H5">
        <v>1.87</v>
      </c>
      <c r="I5" t="s">
        <v>179</v>
      </c>
      <c r="J5" t="s">
        <v>214</v>
      </c>
    </row>
    <row r="6" spans="1:12" x14ac:dyDescent="0.25">
      <c r="A6">
        <v>31</v>
      </c>
      <c r="B6" t="str">
        <f>CONCATENATE($E6, "-",$A6)</f>
        <v>UEFA-31</v>
      </c>
      <c r="C6" t="s">
        <v>52</v>
      </c>
      <c r="D6" t="s">
        <v>53</v>
      </c>
      <c r="E6" t="s">
        <v>69</v>
      </c>
      <c r="F6">
        <v>13</v>
      </c>
      <c r="G6">
        <v>26</v>
      </c>
      <c r="H6">
        <v>1.84</v>
      </c>
      <c r="I6" t="s">
        <v>193</v>
      </c>
      <c r="J6" t="s">
        <v>222</v>
      </c>
    </row>
    <row r="7" spans="1:12" x14ac:dyDescent="0.25">
      <c r="A7">
        <v>28</v>
      </c>
      <c r="B7" t="str">
        <f>CONCATENATE($E7, "-",$A7)</f>
        <v>CONCACAF-28</v>
      </c>
      <c r="C7" t="s">
        <v>239</v>
      </c>
      <c r="D7" t="s">
        <v>10</v>
      </c>
      <c r="E7" t="s">
        <v>1</v>
      </c>
      <c r="F7">
        <v>52</v>
      </c>
      <c r="G7">
        <v>27</v>
      </c>
      <c r="H7">
        <v>1.75</v>
      </c>
      <c r="I7" t="s">
        <v>191</v>
      </c>
      <c r="J7" t="s">
        <v>242</v>
      </c>
    </row>
    <row r="8" spans="1:12" x14ac:dyDescent="0.25">
      <c r="A8">
        <v>11</v>
      </c>
      <c r="B8" t="str">
        <f>CONCATENATE($E8, "-",$A8)</f>
        <v>CONMEBOL-11</v>
      </c>
      <c r="C8" t="s">
        <v>13</v>
      </c>
      <c r="D8" t="s">
        <v>15</v>
      </c>
      <c r="E8" t="s">
        <v>49</v>
      </c>
      <c r="F8">
        <v>103</v>
      </c>
      <c r="G8">
        <v>36</v>
      </c>
      <c r="H8">
        <v>1.77</v>
      </c>
      <c r="I8" t="s">
        <v>176</v>
      </c>
      <c r="J8" t="s">
        <v>213</v>
      </c>
    </row>
    <row r="9" spans="1:12" x14ac:dyDescent="0.25">
      <c r="A9">
        <v>18</v>
      </c>
      <c r="B9" t="str">
        <f>CONCATENATE($E9, "-",$A9)</f>
        <v>CONMEBOL-18</v>
      </c>
      <c r="C9" t="s">
        <v>24</v>
      </c>
      <c r="D9" t="s">
        <v>25</v>
      </c>
      <c r="E9" t="s">
        <v>49</v>
      </c>
      <c r="F9">
        <v>11</v>
      </c>
      <c r="G9">
        <v>18</v>
      </c>
      <c r="H9">
        <v>1.76</v>
      </c>
      <c r="I9" t="s">
        <v>182</v>
      </c>
      <c r="J9" t="s">
        <v>217</v>
      </c>
    </row>
    <row r="10" spans="1:12" x14ac:dyDescent="0.25">
      <c r="A10">
        <v>21</v>
      </c>
      <c r="B10" t="str">
        <f>CONCATENATE($E10, "-",$A10)</f>
        <v>CONCACAF-21</v>
      </c>
      <c r="C10" t="s">
        <v>3</v>
      </c>
      <c r="D10" t="s">
        <v>4</v>
      </c>
      <c r="E10" t="s">
        <v>1</v>
      </c>
      <c r="F10">
        <v>6</v>
      </c>
      <c r="G10">
        <v>17</v>
      </c>
      <c r="H10">
        <v>1.68</v>
      </c>
      <c r="I10" t="s">
        <v>185</v>
      </c>
      <c r="J10" t="s">
        <v>219</v>
      </c>
    </row>
    <row r="11" spans="1:12" x14ac:dyDescent="0.25">
      <c r="A11">
        <v>16</v>
      </c>
      <c r="B11" t="str">
        <f>CONCATENATE($E11, "-",$A11)</f>
        <v>CONMEBOL-16</v>
      </c>
      <c r="C11" t="s">
        <v>21</v>
      </c>
      <c r="D11" t="s">
        <v>22</v>
      </c>
      <c r="E11" t="s">
        <v>49</v>
      </c>
      <c r="F11">
        <v>6</v>
      </c>
      <c r="G11">
        <v>21</v>
      </c>
      <c r="H11">
        <v>1.86</v>
      </c>
      <c r="I11" t="s">
        <v>180</v>
      </c>
      <c r="J11" t="s">
        <v>216</v>
      </c>
    </row>
    <row r="12" spans="1:12" x14ac:dyDescent="0.25">
      <c r="A12">
        <v>38</v>
      </c>
      <c r="B12" t="str">
        <f>CONCATENATE($E12, "-",$A12)</f>
        <v>UEFA-38</v>
      </c>
      <c r="C12" t="s">
        <v>61</v>
      </c>
      <c r="D12" t="s">
        <v>63</v>
      </c>
      <c r="E12" t="s">
        <v>69</v>
      </c>
      <c r="F12">
        <v>15</v>
      </c>
      <c r="G12">
        <v>23</v>
      </c>
      <c r="H12">
        <v>1.72</v>
      </c>
      <c r="I12" t="s">
        <v>180</v>
      </c>
      <c r="J12" t="s">
        <v>228</v>
      </c>
    </row>
    <row r="13" spans="1:12" x14ac:dyDescent="0.25">
      <c r="A13">
        <v>10</v>
      </c>
      <c r="B13" t="str">
        <f>CONCATENATE($E13, "-",$A13)</f>
        <v>CAF-10</v>
      </c>
      <c r="C13" t="s">
        <v>44</v>
      </c>
      <c r="D13" t="s">
        <v>45</v>
      </c>
      <c r="E13" t="s">
        <v>87</v>
      </c>
      <c r="F13">
        <v>7</v>
      </c>
      <c r="G13">
        <v>27</v>
      </c>
      <c r="H13">
        <v>1.82</v>
      </c>
      <c r="I13" t="s">
        <v>175</v>
      </c>
      <c r="J13" t="s">
        <v>210</v>
      </c>
    </row>
    <row r="14" spans="1:12" x14ac:dyDescent="0.25">
      <c r="A14">
        <v>13</v>
      </c>
      <c r="B14" t="str">
        <f>CONCATENATE($E14, "-",$A14)</f>
        <v>CONMEBOL-13</v>
      </c>
      <c r="C14" t="s">
        <v>16</v>
      </c>
      <c r="D14" t="s">
        <v>17</v>
      </c>
      <c r="E14" t="s">
        <v>49</v>
      </c>
      <c r="F14">
        <v>42</v>
      </c>
      <c r="G14">
        <v>29</v>
      </c>
      <c r="H14">
        <v>1.81</v>
      </c>
      <c r="I14" t="s">
        <v>178</v>
      </c>
      <c r="J14" t="s">
        <v>214</v>
      </c>
    </row>
    <row r="15" spans="1:12" x14ac:dyDescent="0.25">
      <c r="A15">
        <v>36</v>
      </c>
      <c r="B15" t="str">
        <f>CONCATENATE($E15, "-",$A15)</f>
        <v>UEFA-36</v>
      </c>
      <c r="C15" t="s">
        <v>46</v>
      </c>
      <c r="D15" t="s">
        <v>96</v>
      </c>
      <c r="E15" t="s">
        <v>69</v>
      </c>
      <c r="F15">
        <v>3</v>
      </c>
      <c r="G15">
        <v>22</v>
      </c>
      <c r="H15">
        <v>1.82</v>
      </c>
      <c r="I15" t="s">
        <v>178</v>
      </c>
      <c r="J15" t="s">
        <v>227</v>
      </c>
    </row>
    <row r="16" spans="1:12" x14ac:dyDescent="0.25">
      <c r="A16">
        <v>42</v>
      </c>
      <c r="B16" t="str">
        <f>CONCATENATE($E16, "-",$A16)</f>
        <v>AFC-42</v>
      </c>
      <c r="C16" t="s">
        <v>70</v>
      </c>
      <c r="D16" t="s">
        <v>78</v>
      </c>
      <c r="E16" t="s">
        <v>72</v>
      </c>
      <c r="F16">
        <v>23</v>
      </c>
      <c r="G16">
        <v>23</v>
      </c>
      <c r="H16">
        <v>1.8</v>
      </c>
      <c r="I16" t="s">
        <v>200</v>
      </c>
      <c r="J16" t="s">
        <v>231</v>
      </c>
    </row>
    <row r="17" spans="1:10" x14ac:dyDescent="0.25">
      <c r="A17">
        <v>44</v>
      </c>
      <c r="B17" t="str">
        <f>CONCATENATE($E17, "-",$A17)</f>
        <v>AFC-44</v>
      </c>
      <c r="C17" t="s">
        <v>74</v>
      </c>
      <c r="D17" t="s">
        <v>75</v>
      </c>
      <c r="E17" t="s">
        <v>72</v>
      </c>
      <c r="F17">
        <v>36</v>
      </c>
      <c r="G17">
        <v>27</v>
      </c>
      <c r="H17">
        <v>1.82</v>
      </c>
      <c r="I17" t="s">
        <v>200</v>
      </c>
      <c r="J17" t="s">
        <v>233</v>
      </c>
    </row>
    <row r="18" spans="1:10" x14ac:dyDescent="0.25">
      <c r="A18">
        <v>46</v>
      </c>
      <c r="B18" t="str">
        <f>CONCATENATE($E18, "-",$A18)</f>
        <v>AFC-46</v>
      </c>
      <c r="C18" t="s">
        <v>76</v>
      </c>
      <c r="D18" t="s">
        <v>86</v>
      </c>
      <c r="E18" t="s">
        <v>72</v>
      </c>
      <c r="F18">
        <v>71</v>
      </c>
      <c r="G18">
        <v>29</v>
      </c>
      <c r="H18">
        <v>1.77</v>
      </c>
      <c r="I18" t="s">
        <v>200</v>
      </c>
      <c r="J18" t="s">
        <v>234</v>
      </c>
    </row>
    <row r="19" spans="1:10" x14ac:dyDescent="0.25">
      <c r="A19">
        <v>19</v>
      </c>
      <c r="B19" t="str">
        <f>CONCATENATE($E19, "-",$A19)</f>
        <v>CONMEBOL-19</v>
      </c>
      <c r="C19" t="s">
        <v>26</v>
      </c>
      <c r="D19" t="s">
        <v>27</v>
      </c>
      <c r="E19" t="s">
        <v>49</v>
      </c>
      <c r="F19">
        <v>57</v>
      </c>
      <c r="G19">
        <v>31</v>
      </c>
      <c r="H19">
        <v>1.74</v>
      </c>
      <c r="I19" t="s">
        <v>183</v>
      </c>
      <c r="J19" t="s">
        <v>218</v>
      </c>
    </row>
    <row r="20" spans="1:10" x14ac:dyDescent="0.25">
      <c r="A20">
        <v>22</v>
      </c>
      <c r="B20" t="str">
        <f>CONCATENATE($E20, "-",$A20)</f>
        <v>CONCACAF-22</v>
      </c>
      <c r="C20" t="s">
        <v>3</v>
      </c>
      <c r="D20" t="s">
        <v>51</v>
      </c>
      <c r="E20" t="s">
        <v>1</v>
      </c>
      <c r="F20">
        <v>123</v>
      </c>
      <c r="G20">
        <v>34</v>
      </c>
      <c r="H20">
        <v>1.87</v>
      </c>
      <c r="I20" t="s">
        <v>186</v>
      </c>
      <c r="J20" t="s">
        <v>219</v>
      </c>
    </row>
    <row r="21" spans="1:10" x14ac:dyDescent="0.25">
      <c r="A21">
        <v>24</v>
      </c>
      <c r="B21" t="str">
        <f>CONCATENATE($E21, "-",$A21)</f>
        <v>CONCACAF-24</v>
      </c>
      <c r="C21" t="s">
        <v>5</v>
      </c>
      <c r="D21" t="s">
        <v>7</v>
      </c>
      <c r="E21" t="s">
        <v>1</v>
      </c>
      <c r="F21">
        <v>15</v>
      </c>
      <c r="G21">
        <v>22</v>
      </c>
      <c r="H21">
        <v>1.8</v>
      </c>
      <c r="I21" t="s">
        <v>188</v>
      </c>
      <c r="J21" t="s">
        <v>220</v>
      </c>
    </row>
    <row r="22" spans="1:10" x14ac:dyDescent="0.25">
      <c r="A22">
        <v>37</v>
      </c>
      <c r="B22" t="str">
        <f>CONCATENATE($E22, "-",$A22)</f>
        <v>UEFA-37</v>
      </c>
      <c r="C22" t="s">
        <v>61</v>
      </c>
      <c r="D22" t="s">
        <v>62</v>
      </c>
      <c r="E22" t="s">
        <v>69</v>
      </c>
      <c r="F22">
        <v>12</v>
      </c>
      <c r="G22">
        <v>19</v>
      </c>
      <c r="H22">
        <v>1.93</v>
      </c>
      <c r="I22" t="s">
        <v>197</v>
      </c>
      <c r="J22" t="s">
        <v>228</v>
      </c>
    </row>
    <row r="23" spans="1:10" x14ac:dyDescent="0.25">
      <c r="A23">
        <v>25</v>
      </c>
      <c r="B23" t="str">
        <f>CONCATENATE($E23, "-",$A23)</f>
        <v>CONCACAF-25</v>
      </c>
      <c r="C23" t="s">
        <v>5</v>
      </c>
      <c r="D23" t="s">
        <v>47</v>
      </c>
      <c r="E23" t="s">
        <v>1</v>
      </c>
      <c r="F23">
        <v>54</v>
      </c>
      <c r="G23">
        <v>29</v>
      </c>
      <c r="H23">
        <v>1.77</v>
      </c>
      <c r="I23" t="s">
        <v>189</v>
      </c>
      <c r="J23" t="s">
        <v>220</v>
      </c>
    </row>
    <row r="24" spans="1:10" x14ac:dyDescent="0.25">
      <c r="A24">
        <v>8</v>
      </c>
      <c r="B24" t="str">
        <f>CONCATENATE($E24, "-",$A24)</f>
        <v>CAF-8</v>
      </c>
      <c r="C24" t="s">
        <v>41</v>
      </c>
      <c r="D24" t="s">
        <v>42</v>
      </c>
      <c r="E24" t="s">
        <v>87</v>
      </c>
      <c r="F24">
        <v>13</v>
      </c>
      <c r="G24">
        <v>20</v>
      </c>
      <c r="H24">
        <v>1.8</v>
      </c>
      <c r="I24" t="s">
        <v>170</v>
      </c>
      <c r="J24" t="s">
        <v>212</v>
      </c>
    </row>
    <row r="25" spans="1:10" x14ac:dyDescent="0.25">
      <c r="A25">
        <v>4</v>
      </c>
      <c r="B25" t="str">
        <f>CONCATENATE($E25, "-",$A25)</f>
        <v>CAF-4</v>
      </c>
      <c r="C25" t="s">
        <v>35</v>
      </c>
      <c r="D25" t="s">
        <v>36</v>
      </c>
      <c r="E25" t="s">
        <v>87</v>
      </c>
      <c r="F25">
        <v>113</v>
      </c>
      <c r="G25">
        <v>33</v>
      </c>
      <c r="H25">
        <v>1.75</v>
      </c>
      <c r="I25" t="s">
        <v>174</v>
      </c>
      <c r="J25" t="s">
        <v>209</v>
      </c>
    </row>
    <row r="26" spans="1:10" x14ac:dyDescent="0.25">
      <c r="A26">
        <v>5</v>
      </c>
      <c r="B26" t="str">
        <f>CONCATENATE($E26, "-",$A26)</f>
        <v>CAF-5</v>
      </c>
      <c r="C26" t="s">
        <v>44</v>
      </c>
      <c r="D26" t="s">
        <v>172</v>
      </c>
      <c r="E26" t="s">
        <v>87</v>
      </c>
      <c r="F26">
        <v>32</v>
      </c>
      <c r="G26">
        <v>26</v>
      </c>
      <c r="H26">
        <v>1.85</v>
      </c>
      <c r="I26" t="s">
        <v>173</v>
      </c>
      <c r="J26" t="s">
        <v>210</v>
      </c>
    </row>
    <row r="27" spans="1:10" x14ac:dyDescent="0.25">
      <c r="A27">
        <v>49</v>
      </c>
      <c r="B27" t="str">
        <f>CONCATENATE($E27, "-",$A27)</f>
        <v>AFC-49</v>
      </c>
      <c r="C27" t="s">
        <v>81</v>
      </c>
      <c r="D27" t="s">
        <v>82</v>
      </c>
      <c r="E27" t="s">
        <v>72</v>
      </c>
      <c r="F27">
        <v>24</v>
      </c>
      <c r="G27">
        <v>21</v>
      </c>
      <c r="H27">
        <v>1.86</v>
      </c>
      <c r="I27" t="s">
        <v>173</v>
      </c>
      <c r="J27" t="s">
        <v>236</v>
      </c>
    </row>
    <row r="28" spans="1:10" x14ac:dyDescent="0.25">
      <c r="A28">
        <v>33</v>
      </c>
      <c r="B28" t="str">
        <f>CONCATENATE($E28, "-",$A28)</f>
        <v>UEFA-33</v>
      </c>
      <c r="C28" t="s">
        <v>55</v>
      </c>
      <c r="D28" t="s">
        <v>56</v>
      </c>
      <c r="E28" t="s">
        <v>69</v>
      </c>
      <c r="F28">
        <v>67</v>
      </c>
      <c r="G28">
        <v>29</v>
      </c>
      <c r="H28">
        <v>1.91</v>
      </c>
      <c r="I28" t="s">
        <v>195</v>
      </c>
      <c r="J28" t="s">
        <v>224</v>
      </c>
    </row>
    <row r="29" spans="1:10" x14ac:dyDescent="0.25">
      <c r="A29">
        <v>20</v>
      </c>
      <c r="B29" t="str">
        <f>CONCATENATE($E29, "-",$A29)</f>
        <v>CONMEBOL-20</v>
      </c>
      <c r="C29" t="s">
        <v>26</v>
      </c>
      <c r="D29" t="s">
        <v>28</v>
      </c>
      <c r="E29" t="s">
        <v>49</v>
      </c>
      <c r="F29">
        <v>4</v>
      </c>
      <c r="G29">
        <v>22</v>
      </c>
      <c r="H29">
        <v>1.79</v>
      </c>
      <c r="I29" t="s">
        <v>184</v>
      </c>
      <c r="J29" t="s">
        <v>218</v>
      </c>
    </row>
    <row r="30" spans="1:10" x14ac:dyDescent="0.25">
      <c r="A30">
        <v>50</v>
      </c>
      <c r="B30" t="str">
        <f>CONCATENATE($E30, "-",$A30)</f>
        <v>AFC-50</v>
      </c>
      <c r="C30" t="s">
        <v>84</v>
      </c>
      <c r="D30" t="s">
        <v>85</v>
      </c>
      <c r="E30" t="s">
        <v>72</v>
      </c>
      <c r="F30">
        <v>88</v>
      </c>
      <c r="G30">
        <v>34</v>
      </c>
      <c r="H30">
        <v>1.91</v>
      </c>
      <c r="I30" t="s">
        <v>205</v>
      </c>
      <c r="J30" t="s">
        <v>237</v>
      </c>
    </row>
    <row r="31" spans="1:10" x14ac:dyDescent="0.25">
      <c r="A31">
        <v>12</v>
      </c>
      <c r="B31" t="str">
        <f>CONCATENATE($E31, "-",$A31)</f>
        <v>CONMEBOL-12</v>
      </c>
      <c r="C31" t="s">
        <v>13</v>
      </c>
      <c r="D31" t="s">
        <v>14</v>
      </c>
      <c r="E31" t="s">
        <v>49</v>
      </c>
      <c r="F31">
        <v>32</v>
      </c>
      <c r="G31">
        <v>24</v>
      </c>
      <c r="H31">
        <v>1.88</v>
      </c>
      <c r="I31" t="s">
        <v>177</v>
      </c>
      <c r="J31" t="s">
        <v>213</v>
      </c>
    </row>
    <row r="32" spans="1:10" x14ac:dyDescent="0.25">
      <c r="A32">
        <v>34</v>
      </c>
      <c r="B32" t="str">
        <f>CONCATENATE($E32, "-",$A32)</f>
        <v>UEFA-34</v>
      </c>
      <c r="C32" t="s">
        <v>57</v>
      </c>
      <c r="D32" t="s">
        <v>58</v>
      </c>
      <c r="E32" t="s">
        <v>69</v>
      </c>
      <c r="F32">
        <v>4</v>
      </c>
      <c r="G32">
        <v>20</v>
      </c>
      <c r="H32">
        <v>1.81</v>
      </c>
      <c r="I32" t="s">
        <v>177</v>
      </c>
      <c r="J32" t="s">
        <v>225</v>
      </c>
    </row>
    <row r="33" spans="1:10" x14ac:dyDescent="0.25">
      <c r="A33">
        <v>47</v>
      </c>
      <c r="B33" t="str">
        <f>CONCATENATE($E33, "-",$A33)</f>
        <v>AFC-47</v>
      </c>
      <c r="C33" t="s">
        <v>76</v>
      </c>
      <c r="D33" t="s">
        <v>77</v>
      </c>
      <c r="E33" t="s">
        <v>72</v>
      </c>
      <c r="F33">
        <v>44</v>
      </c>
      <c r="G33">
        <v>25</v>
      </c>
      <c r="H33">
        <v>1.73</v>
      </c>
      <c r="I33" t="s">
        <v>177</v>
      </c>
      <c r="J33" t="s">
        <v>234</v>
      </c>
    </row>
    <row r="34" spans="1:10" x14ac:dyDescent="0.25">
      <c r="A34">
        <v>26</v>
      </c>
      <c r="B34" t="str">
        <f>CONCATENATE($E34, "-",$A34)</f>
        <v>CONCACAF-26</v>
      </c>
      <c r="C34" t="s">
        <v>239</v>
      </c>
      <c r="D34" t="s">
        <v>8</v>
      </c>
      <c r="E34" t="s">
        <v>1</v>
      </c>
      <c r="F34">
        <v>37</v>
      </c>
      <c r="G34">
        <v>25</v>
      </c>
      <c r="H34">
        <v>1.73</v>
      </c>
      <c r="I34" t="s">
        <v>190</v>
      </c>
      <c r="J34" t="s">
        <v>242</v>
      </c>
    </row>
    <row r="35" spans="1:10" x14ac:dyDescent="0.25">
      <c r="A35">
        <v>27</v>
      </c>
      <c r="B35" t="str">
        <f>CONCATENATE($E35, "-",$A35)</f>
        <v>CONCACAF-27</v>
      </c>
      <c r="C35" t="s">
        <v>239</v>
      </c>
      <c r="D35" t="s">
        <v>9</v>
      </c>
      <c r="E35" t="s">
        <v>1</v>
      </c>
      <c r="F35">
        <v>34</v>
      </c>
      <c r="G35">
        <v>23</v>
      </c>
      <c r="H35">
        <v>1.85</v>
      </c>
      <c r="I35" t="s">
        <v>190</v>
      </c>
      <c r="J35" t="s">
        <v>242</v>
      </c>
    </row>
    <row r="36" spans="1:10" x14ac:dyDescent="0.25">
      <c r="A36">
        <v>3</v>
      </c>
      <c r="B36" t="str">
        <f>CONCATENATE($E36, "-",$A36)</f>
        <v>CAF-3</v>
      </c>
      <c r="C36" t="s">
        <v>33</v>
      </c>
      <c r="D36" t="s">
        <v>34</v>
      </c>
      <c r="E36" t="s">
        <v>87</v>
      </c>
      <c r="F36">
        <v>9</v>
      </c>
      <c r="G36">
        <v>19</v>
      </c>
      <c r="H36">
        <v>1.8</v>
      </c>
      <c r="I36" t="s">
        <v>167</v>
      </c>
      <c r="J36" t="s">
        <v>208</v>
      </c>
    </row>
    <row r="37" spans="1:10" x14ac:dyDescent="0.25">
      <c r="A37">
        <v>29</v>
      </c>
      <c r="B37" t="str">
        <f>CONCATENATE($E37, "-",$A37)</f>
        <v>CONCACAF-29</v>
      </c>
      <c r="C37" t="s">
        <v>11</v>
      </c>
      <c r="D37" t="s">
        <v>12</v>
      </c>
      <c r="E37" t="s">
        <v>1</v>
      </c>
      <c r="F37">
        <v>0</v>
      </c>
      <c r="G37">
        <v>28</v>
      </c>
      <c r="H37">
        <v>1.73</v>
      </c>
      <c r="I37" t="s">
        <v>192</v>
      </c>
      <c r="J37" t="s">
        <v>221</v>
      </c>
    </row>
    <row r="38" spans="1:10" x14ac:dyDescent="0.25">
      <c r="A38">
        <v>2</v>
      </c>
      <c r="B38" t="str">
        <f>CONCATENATE($E38, "-",$A38)</f>
        <v>CAF-2</v>
      </c>
      <c r="C38" t="s">
        <v>31</v>
      </c>
      <c r="D38" t="s">
        <v>32</v>
      </c>
      <c r="E38" t="s">
        <v>87</v>
      </c>
      <c r="F38">
        <v>22</v>
      </c>
      <c r="G38">
        <v>26</v>
      </c>
      <c r="H38">
        <v>1.7</v>
      </c>
      <c r="I38" t="s">
        <v>166</v>
      </c>
      <c r="J38" t="s">
        <v>207</v>
      </c>
    </row>
    <row r="39" spans="1:10" x14ac:dyDescent="0.25">
      <c r="A39">
        <v>45</v>
      </c>
      <c r="B39" t="str">
        <f>CONCATENATE($E39, "-",$A39)</f>
        <v>AFC-45</v>
      </c>
      <c r="C39" t="s">
        <v>74</v>
      </c>
      <c r="D39" t="s">
        <v>83</v>
      </c>
      <c r="E39" t="s">
        <v>72</v>
      </c>
      <c r="F39">
        <v>48</v>
      </c>
      <c r="G39">
        <v>24</v>
      </c>
      <c r="H39">
        <v>1.73</v>
      </c>
      <c r="I39" t="s">
        <v>203</v>
      </c>
      <c r="J39" t="s">
        <v>233</v>
      </c>
    </row>
    <row r="40" spans="1:10" x14ac:dyDescent="0.25">
      <c r="A40">
        <v>23</v>
      </c>
      <c r="B40" t="str">
        <f>CONCATENATE($E40, "-",$A40)</f>
        <v>CONCACAF-23</v>
      </c>
      <c r="C40" t="s">
        <v>5</v>
      </c>
      <c r="D40" t="s">
        <v>6</v>
      </c>
      <c r="E40" t="s">
        <v>1</v>
      </c>
      <c r="F40">
        <v>8</v>
      </c>
      <c r="G40">
        <v>24</v>
      </c>
      <c r="H40">
        <v>1.95</v>
      </c>
      <c r="I40" t="s">
        <v>187</v>
      </c>
      <c r="J40" t="s">
        <v>220</v>
      </c>
    </row>
    <row r="41" spans="1:10" x14ac:dyDescent="0.25">
      <c r="A41">
        <v>6</v>
      </c>
      <c r="B41" t="str">
        <f>CONCATENATE($E41, "-",$A41)</f>
        <v>CAF-6</v>
      </c>
      <c r="C41" t="s">
        <v>37</v>
      </c>
      <c r="D41" t="s">
        <v>38</v>
      </c>
      <c r="E41" t="s">
        <v>87</v>
      </c>
      <c r="F41">
        <v>42</v>
      </c>
      <c r="G41">
        <v>33</v>
      </c>
      <c r="H41">
        <v>1.86</v>
      </c>
      <c r="I41" t="s">
        <v>168</v>
      </c>
      <c r="J41" t="s">
        <v>206</v>
      </c>
    </row>
    <row r="42" spans="1:10" x14ac:dyDescent="0.25">
      <c r="A42">
        <v>43</v>
      </c>
      <c r="B42" t="str">
        <f>CONCATENATE($E42, "-",$A42)</f>
        <v>AFC-43</v>
      </c>
      <c r="C42" t="s">
        <v>73</v>
      </c>
      <c r="D42" t="s">
        <v>201</v>
      </c>
      <c r="E42" t="s">
        <v>72</v>
      </c>
      <c r="F42">
        <v>70</v>
      </c>
      <c r="G42">
        <v>28</v>
      </c>
      <c r="H42">
        <v>1.78</v>
      </c>
      <c r="I42" t="s">
        <v>202</v>
      </c>
      <c r="J42" t="s">
        <v>232</v>
      </c>
    </row>
    <row r="43" spans="1:10" x14ac:dyDescent="0.25">
      <c r="A43">
        <v>17</v>
      </c>
      <c r="B43" t="str">
        <f>CONCATENATE($E43, "-",$A43)</f>
        <v>CONMEBOL-17</v>
      </c>
      <c r="C43" t="s">
        <v>21</v>
      </c>
      <c r="D43" t="s">
        <v>23</v>
      </c>
      <c r="E43" t="s">
        <v>49</v>
      </c>
      <c r="F43">
        <v>1</v>
      </c>
      <c r="G43">
        <v>21</v>
      </c>
      <c r="H43">
        <v>1.7</v>
      </c>
      <c r="I43" t="s">
        <v>181</v>
      </c>
      <c r="J43" t="s">
        <v>216</v>
      </c>
    </row>
    <row r="44" spans="1:10" x14ac:dyDescent="0.25">
      <c r="A44">
        <v>1</v>
      </c>
      <c r="B44" t="str">
        <f>CONCATENATE($E44, "-",$A44)</f>
        <v>CAF-1</v>
      </c>
      <c r="C44" t="s">
        <v>29</v>
      </c>
      <c r="D44" t="s">
        <v>30</v>
      </c>
      <c r="E44" t="s">
        <v>87</v>
      </c>
      <c r="F44">
        <v>17</v>
      </c>
      <c r="G44">
        <v>21</v>
      </c>
      <c r="H44">
        <v>1.73</v>
      </c>
      <c r="I44" t="s">
        <v>164</v>
      </c>
      <c r="J44" t="s">
        <v>238</v>
      </c>
    </row>
    <row r="45" spans="1:10" x14ac:dyDescent="0.25">
      <c r="A45">
        <v>15</v>
      </c>
      <c r="B45" t="str">
        <f>CONCATENATE($E45, "-",$A45)</f>
        <v>CONMEBOL-15</v>
      </c>
      <c r="C45" t="s">
        <v>19</v>
      </c>
      <c r="D45" t="s">
        <v>20</v>
      </c>
      <c r="E45" t="s">
        <v>49</v>
      </c>
      <c r="F45">
        <v>33</v>
      </c>
      <c r="G45">
        <v>29</v>
      </c>
      <c r="H45">
        <v>1.88</v>
      </c>
      <c r="I45" t="s">
        <v>164</v>
      </c>
      <c r="J45" t="s">
        <v>215</v>
      </c>
    </row>
    <row r="46" spans="1:10" x14ac:dyDescent="0.25">
      <c r="A46">
        <v>30</v>
      </c>
      <c r="B46" t="str">
        <f>CONCATENATE($E46, "-",$A46)</f>
        <v>CONCACAF-30</v>
      </c>
      <c r="C46" t="s">
        <v>11</v>
      </c>
      <c r="D46" t="s">
        <v>50</v>
      </c>
      <c r="E46" t="s">
        <v>1</v>
      </c>
      <c r="F46">
        <v>0</v>
      </c>
      <c r="G46">
        <v>25</v>
      </c>
      <c r="H46">
        <v>1.86</v>
      </c>
      <c r="I46" t="s">
        <v>164</v>
      </c>
      <c r="J46" t="s">
        <v>221</v>
      </c>
    </row>
    <row r="47" spans="1:10" x14ac:dyDescent="0.25">
      <c r="A47">
        <v>40</v>
      </c>
      <c r="B47" t="str">
        <f>CONCATENATE($E47, "-",$A47)</f>
        <v>UEFA-40</v>
      </c>
      <c r="C47" t="s">
        <v>67</v>
      </c>
      <c r="D47" t="s">
        <v>68</v>
      </c>
      <c r="E47" t="s">
        <v>69</v>
      </c>
      <c r="F47">
        <v>0</v>
      </c>
      <c r="G47">
        <v>23</v>
      </c>
      <c r="H47">
        <v>1.93</v>
      </c>
      <c r="I47" t="s">
        <v>164</v>
      </c>
      <c r="J47" t="s">
        <v>230</v>
      </c>
    </row>
    <row r="48" spans="1:10" x14ac:dyDescent="0.25">
      <c r="A48">
        <v>39</v>
      </c>
      <c r="B48" t="str">
        <f>CONCATENATE($E48, "-",$A48)</f>
        <v>UEFA-39</v>
      </c>
      <c r="C48" t="s">
        <v>65</v>
      </c>
      <c r="D48" t="s">
        <v>66</v>
      </c>
      <c r="E48" t="s">
        <v>69</v>
      </c>
      <c r="F48">
        <v>5</v>
      </c>
      <c r="G48">
        <v>22</v>
      </c>
      <c r="H48">
        <v>1.9</v>
      </c>
      <c r="I48" t="s">
        <v>198</v>
      </c>
      <c r="J48" t="s">
        <v>229</v>
      </c>
    </row>
    <row r="49" spans="1:10" x14ac:dyDescent="0.25">
      <c r="A49">
        <v>41</v>
      </c>
      <c r="B49" t="str">
        <f>CONCATENATE($E49, "-",$A49)</f>
        <v>AFC-41</v>
      </c>
      <c r="C49" t="s">
        <v>70</v>
      </c>
      <c r="D49" t="s">
        <v>71</v>
      </c>
      <c r="E49" t="s">
        <v>72</v>
      </c>
      <c r="F49">
        <v>11</v>
      </c>
      <c r="G49">
        <v>20</v>
      </c>
      <c r="H49">
        <v>1.75</v>
      </c>
      <c r="I49" t="s">
        <v>199</v>
      </c>
      <c r="J49" t="s">
        <v>231</v>
      </c>
    </row>
    <row r="50" spans="1:10" x14ac:dyDescent="0.25">
      <c r="A50">
        <v>7</v>
      </c>
      <c r="B50" t="str">
        <f>CONCATENATE($E50, "-",$A50)</f>
        <v>CAF-7</v>
      </c>
      <c r="C50" t="s">
        <v>39</v>
      </c>
      <c r="D50" t="s">
        <v>40</v>
      </c>
      <c r="E50" t="s">
        <v>87</v>
      </c>
      <c r="F50">
        <v>17</v>
      </c>
      <c r="G50">
        <v>21</v>
      </c>
      <c r="H50">
        <v>1.83</v>
      </c>
      <c r="I50" t="s">
        <v>169</v>
      </c>
      <c r="J50" t="s">
        <v>211</v>
      </c>
    </row>
    <row r="51" spans="1:10" x14ac:dyDescent="0.25">
      <c r="A51">
        <v>9</v>
      </c>
      <c r="B51" t="str">
        <f>CONCATENATE($E51, "-",$A51)</f>
        <v>CAF-9</v>
      </c>
      <c r="C51" t="s">
        <v>41</v>
      </c>
      <c r="D51" t="s">
        <v>43</v>
      </c>
      <c r="E51" t="s">
        <v>87</v>
      </c>
      <c r="F51">
        <v>42</v>
      </c>
      <c r="G51">
        <v>25</v>
      </c>
      <c r="H51">
        <v>1.7</v>
      </c>
      <c r="I51" t="s">
        <v>171</v>
      </c>
      <c r="J51" t="s">
        <v>212</v>
      </c>
    </row>
  </sheetData>
  <autoFilter ref="A1:L51" xr:uid="{D2CE1AA0-E7C7-43C9-A17E-1F80D32546D5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DA60C-E5C2-4327-ACDF-75F8DE380B42}">
  <dimension ref="A1:D102"/>
  <sheetViews>
    <sheetView topLeftCell="A25" workbookViewId="0">
      <selection activeCell="D4" sqref="D4"/>
    </sheetView>
  </sheetViews>
  <sheetFormatPr defaultRowHeight="15" x14ac:dyDescent="0.25"/>
  <cols>
    <col min="1" max="1" width="14" bestFit="1" customWidth="1"/>
    <col min="2" max="2" width="8.28515625" bestFit="1" customWidth="1"/>
    <col min="4" max="4" width="8.42578125" bestFit="1" customWidth="1"/>
    <col min="5" max="5" width="16.28515625" bestFit="1" customWidth="1"/>
    <col min="6" max="14" width="7.140625" bestFit="1" customWidth="1"/>
    <col min="15" max="15" width="6.140625" bestFit="1" customWidth="1"/>
    <col min="16" max="16" width="7.140625" bestFit="1" customWidth="1"/>
    <col min="17" max="24" width="6.140625" bestFit="1" customWidth="1"/>
    <col min="25" max="34" width="13.7109375" bestFit="1" customWidth="1"/>
    <col min="35" max="44" width="14.140625" bestFit="1" customWidth="1"/>
    <col min="45" max="54" width="8.42578125" bestFit="1" customWidth="1"/>
    <col min="55" max="55" width="11.28515625" bestFit="1" customWidth="1"/>
  </cols>
  <sheetData>
    <row r="1" spans="1:4" x14ac:dyDescent="0.25">
      <c r="A1" t="s">
        <v>94</v>
      </c>
      <c r="B1" t="s">
        <v>88</v>
      </c>
      <c r="C1" t="s">
        <v>240</v>
      </c>
      <c r="D1" t="s">
        <v>241</v>
      </c>
    </row>
    <row r="2" spans="1:4" x14ac:dyDescent="0.25">
      <c r="A2" t="s">
        <v>98</v>
      </c>
      <c r="B2" t="s">
        <v>148</v>
      </c>
      <c r="C2">
        <v>0.5</v>
      </c>
      <c r="D2">
        <v>0.4</v>
      </c>
    </row>
    <row r="3" spans="1:4" x14ac:dyDescent="0.25">
      <c r="A3" t="s">
        <v>98</v>
      </c>
      <c r="B3" t="s">
        <v>149</v>
      </c>
      <c r="C3">
        <v>0.5</v>
      </c>
      <c r="D3">
        <v>0.55000000000000004</v>
      </c>
    </row>
    <row r="4" spans="1:4" x14ac:dyDescent="0.25">
      <c r="A4" t="s">
        <v>99</v>
      </c>
      <c r="B4" t="s">
        <v>152</v>
      </c>
      <c r="C4">
        <v>0.85</v>
      </c>
      <c r="D4">
        <v>0.8</v>
      </c>
    </row>
    <row r="5" spans="1:4" x14ac:dyDescent="0.25">
      <c r="A5" t="s">
        <v>99</v>
      </c>
      <c r="B5" t="s">
        <v>151</v>
      </c>
      <c r="C5">
        <v>0.5</v>
      </c>
      <c r="D5">
        <v>0.75</v>
      </c>
    </row>
    <row r="6" spans="1:4" x14ac:dyDescent="0.25">
      <c r="A6" t="s">
        <v>99</v>
      </c>
      <c r="B6" t="s">
        <v>153</v>
      </c>
      <c r="C6">
        <v>0.15</v>
      </c>
      <c r="D6">
        <v>0.8</v>
      </c>
    </row>
    <row r="7" spans="1:4" x14ac:dyDescent="0.25">
      <c r="A7" t="s">
        <v>100</v>
      </c>
      <c r="B7" t="s">
        <v>153</v>
      </c>
      <c r="C7">
        <v>0.15</v>
      </c>
      <c r="D7">
        <v>0.8</v>
      </c>
    </row>
    <row r="8" spans="1:4" x14ac:dyDescent="0.25">
      <c r="A8" t="s">
        <v>100</v>
      </c>
      <c r="B8" t="s">
        <v>152</v>
      </c>
      <c r="C8">
        <v>0.85</v>
      </c>
      <c r="D8">
        <v>0.8</v>
      </c>
    </row>
    <row r="9" spans="1:4" x14ac:dyDescent="0.25">
      <c r="A9" t="s">
        <v>101</v>
      </c>
      <c r="B9" t="s">
        <v>152</v>
      </c>
      <c r="C9">
        <v>0.85</v>
      </c>
      <c r="D9">
        <v>0.8</v>
      </c>
    </row>
    <row r="10" spans="1:4" x14ac:dyDescent="0.25">
      <c r="A10" t="s">
        <v>101</v>
      </c>
      <c r="B10" t="s">
        <v>97</v>
      </c>
      <c r="C10">
        <v>0.5</v>
      </c>
      <c r="D10">
        <v>0.98</v>
      </c>
    </row>
    <row r="11" spans="1:4" x14ac:dyDescent="0.25">
      <c r="A11" t="s">
        <v>102</v>
      </c>
      <c r="B11" t="s">
        <v>97</v>
      </c>
      <c r="C11">
        <v>0.5</v>
      </c>
      <c r="D11">
        <v>0.98</v>
      </c>
    </row>
    <row r="12" spans="1:4" x14ac:dyDescent="0.25">
      <c r="A12" t="s">
        <v>102</v>
      </c>
      <c r="B12" t="s">
        <v>152</v>
      </c>
      <c r="C12">
        <v>0.85</v>
      </c>
      <c r="D12">
        <v>0.8</v>
      </c>
    </row>
    <row r="13" spans="1:4" x14ac:dyDescent="0.25">
      <c r="A13" t="s">
        <v>102</v>
      </c>
      <c r="B13" t="s">
        <v>153</v>
      </c>
      <c r="C13">
        <v>0.15</v>
      </c>
      <c r="D13">
        <v>0.8</v>
      </c>
    </row>
    <row r="14" spans="1:4" x14ac:dyDescent="0.25">
      <c r="A14" t="s">
        <v>103</v>
      </c>
      <c r="B14" t="s">
        <v>154</v>
      </c>
      <c r="C14">
        <v>0.5</v>
      </c>
      <c r="D14">
        <v>0.2</v>
      </c>
    </row>
    <row r="15" spans="1:4" x14ac:dyDescent="0.25">
      <c r="A15" t="s">
        <v>103</v>
      </c>
      <c r="B15" t="s">
        <v>155</v>
      </c>
      <c r="C15">
        <v>0.85</v>
      </c>
      <c r="D15">
        <v>0.35</v>
      </c>
    </row>
    <row r="16" spans="1:4" x14ac:dyDescent="0.25">
      <c r="A16" t="s">
        <v>104</v>
      </c>
      <c r="B16" t="s">
        <v>156</v>
      </c>
      <c r="C16">
        <v>0.15</v>
      </c>
      <c r="D16">
        <v>0.35</v>
      </c>
    </row>
    <row r="17" spans="1:4" x14ac:dyDescent="0.25">
      <c r="A17" t="s">
        <v>104</v>
      </c>
      <c r="B17" t="s">
        <v>157</v>
      </c>
      <c r="C17">
        <v>0.1</v>
      </c>
      <c r="D17">
        <v>0.45</v>
      </c>
    </row>
    <row r="18" spans="1:4" x14ac:dyDescent="0.25">
      <c r="A18" t="s">
        <v>105</v>
      </c>
      <c r="B18" t="s">
        <v>151</v>
      </c>
      <c r="C18">
        <v>0.5</v>
      </c>
      <c r="D18">
        <v>0.75</v>
      </c>
    </row>
    <row r="19" spans="1:4" x14ac:dyDescent="0.25">
      <c r="A19" t="s">
        <v>105</v>
      </c>
      <c r="B19" t="s">
        <v>149</v>
      </c>
      <c r="C19">
        <v>0.5</v>
      </c>
      <c r="D19">
        <v>0.55000000000000004</v>
      </c>
    </row>
    <row r="20" spans="1:4" x14ac:dyDescent="0.25">
      <c r="A20" t="s">
        <v>106</v>
      </c>
      <c r="B20" t="s">
        <v>97</v>
      </c>
      <c r="C20">
        <v>0.5</v>
      </c>
      <c r="D20">
        <v>0.98</v>
      </c>
    </row>
    <row r="21" spans="1:4" x14ac:dyDescent="0.25">
      <c r="A21" t="s">
        <v>106</v>
      </c>
      <c r="B21" t="s">
        <v>150</v>
      </c>
      <c r="C21">
        <v>0.5</v>
      </c>
      <c r="D21">
        <v>0.85</v>
      </c>
    </row>
    <row r="22" spans="1:4" x14ac:dyDescent="0.25">
      <c r="A22" t="s">
        <v>107</v>
      </c>
      <c r="B22" t="s">
        <v>97</v>
      </c>
      <c r="C22">
        <v>0.5</v>
      </c>
      <c r="D22">
        <v>0.98</v>
      </c>
    </row>
    <row r="23" spans="1:4" x14ac:dyDescent="0.25">
      <c r="A23" t="s">
        <v>107</v>
      </c>
      <c r="B23" t="s">
        <v>152</v>
      </c>
      <c r="C23">
        <v>0.85</v>
      </c>
      <c r="D23">
        <v>0.8</v>
      </c>
    </row>
    <row r="24" spans="1:4" x14ac:dyDescent="0.25">
      <c r="A24" t="s">
        <v>108</v>
      </c>
      <c r="B24" t="s">
        <v>97</v>
      </c>
      <c r="C24">
        <v>0.5</v>
      </c>
      <c r="D24">
        <v>0.98</v>
      </c>
    </row>
    <row r="25" spans="1:4" x14ac:dyDescent="0.25">
      <c r="A25" t="s">
        <v>108</v>
      </c>
      <c r="B25" t="s">
        <v>158</v>
      </c>
      <c r="C25">
        <v>0.5</v>
      </c>
      <c r="D25">
        <v>0.92</v>
      </c>
    </row>
    <row r="26" spans="1:4" x14ac:dyDescent="0.25">
      <c r="A26" t="s">
        <v>109</v>
      </c>
      <c r="B26" t="s">
        <v>154</v>
      </c>
      <c r="C26">
        <v>0.5</v>
      </c>
      <c r="D26">
        <v>0.2</v>
      </c>
    </row>
    <row r="27" spans="1:4" x14ac:dyDescent="0.25">
      <c r="A27" t="s">
        <v>109</v>
      </c>
      <c r="B27" t="s">
        <v>159</v>
      </c>
      <c r="C27">
        <v>0.35</v>
      </c>
      <c r="D27">
        <v>0.2</v>
      </c>
    </row>
    <row r="28" spans="1:4" x14ac:dyDescent="0.25">
      <c r="A28" t="s">
        <v>110</v>
      </c>
      <c r="B28" t="s">
        <v>155</v>
      </c>
      <c r="C28">
        <v>0.85</v>
      </c>
      <c r="D28">
        <v>0.35</v>
      </c>
    </row>
    <row r="29" spans="1:4" x14ac:dyDescent="0.25">
      <c r="A29" t="s">
        <v>110</v>
      </c>
      <c r="B29" t="s">
        <v>160</v>
      </c>
      <c r="C29">
        <v>0.9</v>
      </c>
      <c r="D29">
        <v>0.45</v>
      </c>
    </row>
    <row r="30" spans="1:4" x14ac:dyDescent="0.25">
      <c r="A30" t="s">
        <v>111</v>
      </c>
      <c r="B30" t="s">
        <v>149</v>
      </c>
      <c r="C30">
        <v>0.5</v>
      </c>
      <c r="D30">
        <v>0.55000000000000004</v>
      </c>
    </row>
    <row r="31" spans="1:4" x14ac:dyDescent="0.25">
      <c r="A31" t="s">
        <v>111</v>
      </c>
      <c r="B31" t="s">
        <v>148</v>
      </c>
      <c r="C31">
        <v>0.5</v>
      </c>
      <c r="D31">
        <v>0.4</v>
      </c>
    </row>
    <row r="32" spans="1:4" x14ac:dyDescent="0.25">
      <c r="A32" t="s">
        <v>112</v>
      </c>
      <c r="B32" t="s">
        <v>154</v>
      </c>
      <c r="C32">
        <v>0.5</v>
      </c>
      <c r="D32">
        <v>0.2</v>
      </c>
    </row>
    <row r="33" spans="1:4" x14ac:dyDescent="0.25">
      <c r="A33" t="s">
        <v>112</v>
      </c>
      <c r="B33" t="s">
        <v>159</v>
      </c>
      <c r="C33">
        <v>0.35</v>
      </c>
      <c r="D33">
        <v>0.2</v>
      </c>
    </row>
    <row r="34" spans="1:4" x14ac:dyDescent="0.25">
      <c r="A34" t="s">
        <v>113</v>
      </c>
      <c r="B34" t="s">
        <v>151</v>
      </c>
      <c r="C34">
        <v>0.5</v>
      </c>
      <c r="D34">
        <v>0.75</v>
      </c>
    </row>
    <row r="35" spans="1:4" x14ac:dyDescent="0.25">
      <c r="A35" t="s">
        <v>113</v>
      </c>
      <c r="B35" t="s">
        <v>152</v>
      </c>
      <c r="C35">
        <v>0.85</v>
      </c>
      <c r="D35">
        <v>0.8</v>
      </c>
    </row>
    <row r="36" spans="1:4" x14ac:dyDescent="0.25">
      <c r="A36" t="s">
        <v>114</v>
      </c>
      <c r="B36" t="s">
        <v>156</v>
      </c>
      <c r="C36">
        <v>0.15</v>
      </c>
      <c r="D36">
        <v>0.35</v>
      </c>
    </row>
    <row r="37" spans="1:4" x14ac:dyDescent="0.25">
      <c r="A37" t="s">
        <v>114</v>
      </c>
      <c r="B37" t="s">
        <v>157</v>
      </c>
      <c r="C37">
        <v>0.1</v>
      </c>
      <c r="D37">
        <v>0.45</v>
      </c>
    </row>
    <row r="38" spans="1:4" x14ac:dyDescent="0.25">
      <c r="A38" t="s">
        <v>115</v>
      </c>
      <c r="B38" t="s">
        <v>152</v>
      </c>
      <c r="C38">
        <v>0.85</v>
      </c>
      <c r="D38">
        <v>0.8</v>
      </c>
    </row>
    <row r="39" spans="1:4" x14ac:dyDescent="0.25">
      <c r="A39" t="s">
        <v>115</v>
      </c>
      <c r="B39" t="s">
        <v>153</v>
      </c>
      <c r="C39">
        <v>0.15</v>
      </c>
      <c r="D39">
        <v>0.8</v>
      </c>
    </row>
    <row r="40" spans="1:4" x14ac:dyDescent="0.25">
      <c r="A40" t="s">
        <v>116</v>
      </c>
      <c r="B40" t="s">
        <v>151</v>
      </c>
      <c r="C40">
        <v>0.5</v>
      </c>
      <c r="D40">
        <v>0.75</v>
      </c>
    </row>
    <row r="41" spans="1:4" x14ac:dyDescent="0.25">
      <c r="A41" t="s">
        <v>116</v>
      </c>
      <c r="B41" t="s">
        <v>152</v>
      </c>
      <c r="C41">
        <v>0.85</v>
      </c>
      <c r="D41">
        <v>0.8</v>
      </c>
    </row>
    <row r="42" spans="1:4" x14ac:dyDescent="0.25">
      <c r="A42" t="s">
        <v>117</v>
      </c>
      <c r="B42" t="s">
        <v>97</v>
      </c>
      <c r="C42">
        <v>0.5</v>
      </c>
      <c r="D42">
        <v>0.98</v>
      </c>
    </row>
    <row r="43" spans="1:4" x14ac:dyDescent="0.25">
      <c r="A43" t="s">
        <v>117</v>
      </c>
      <c r="B43" t="s">
        <v>152</v>
      </c>
      <c r="C43">
        <v>0.85</v>
      </c>
      <c r="D43">
        <v>0.8</v>
      </c>
    </row>
    <row r="44" spans="1:4" x14ac:dyDescent="0.25">
      <c r="A44" t="s">
        <v>118</v>
      </c>
      <c r="B44" t="s">
        <v>151</v>
      </c>
      <c r="C44">
        <v>0.5</v>
      </c>
      <c r="D44">
        <v>0.75</v>
      </c>
    </row>
    <row r="45" spans="1:4" x14ac:dyDescent="0.25">
      <c r="A45" t="s">
        <v>118</v>
      </c>
      <c r="B45" t="s">
        <v>149</v>
      </c>
      <c r="C45">
        <v>0.5</v>
      </c>
      <c r="D45">
        <v>0.55000000000000004</v>
      </c>
    </row>
    <row r="46" spans="1:4" x14ac:dyDescent="0.25">
      <c r="A46" t="s">
        <v>119</v>
      </c>
      <c r="B46" t="s">
        <v>97</v>
      </c>
      <c r="C46">
        <v>0.5</v>
      </c>
      <c r="D46">
        <v>0.98</v>
      </c>
    </row>
    <row r="47" spans="1:4" x14ac:dyDescent="0.25">
      <c r="A47" t="s">
        <v>119</v>
      </c>
      <c r="B47" t="s">
        <v>158</v>
      </c>
      <c r="C47">
        <v>0.5</v>
      </c>
      <c r="D47">
        <v>0.92</v>
      </c>
    </row>
    <row r="48" spans="1:4" x14ac:dyDescent="0.25">
      <c r="A48" t="s">
        <v>120</v>
      </c>
      <c r="B48" t="s">
        <v>97</v>
      </c>
      <c r="C48">
        <v>0.5</v>
      </c>
      <c r="D48">
        <v>0.98</v>
      </c>
    </row>
    <row r="49" spans="1:4" x14ac:dyDescent="0.25">
      <c r="A49" t="s">
        <v>120</v>
      </c>
      <c r="B49" t="s">
        <v>158</v>
      </c>
      <c r="C49">
        <v>0.5</v>
      </c>
      <c r="D49">
        <v>0.92</v>
      </c>
    </row>
    <row r="50" spans="1:4" x14ac:dyDescent="0.25">
      <c r="A50" t="s">
        <v>121</v>
      </c>
      <c r="B50" t="s">
        <v>155</v>
      </c>
      <c r="C50">
        <v>0.85</v>
      </c>
      <c r="D50">
        <v>0.35</v>
      </c>
    </row>
    <row r="51" spans="1:4" x14ac:dyDescent="0.25">
      <c r="A51" t="s">
        <v>121</v>
      </c>
      <c r="B51" t="s">
        <v>154</v>
      </c>
      <c r="C51">
        <v>0.5</v>
      </c>
      <c r="D51">
        <v>0.2</v>
      </c>
    </row>
    <row r="52" spans="1:4" x14ac:dyDescent="0.25">
      <c r="A52" t="s">
        <v>122</v>
      </c>
      <c r="B52" t="s">
        <v>149</v>
      </c>
      <c r="C52">
        <v>0.5</v>
      </c>
      <c r="D52">
        <v>0.55000000000000004</v>
      </c>
    </row>
    <row r="53" spans="1:4" x14ac:dyDescent="0.25">
      <c r="A53" t="s">
        <v>122</v>
      </c>
      <c r="B53" t="s">
        <v>148</v>
      </c>
      <c r="C53">
        <v>0.5</v>
      </c>
      <c r="D53">
        <v>0.4</v>
      </c>
    </row>
    <row r="54" spans="1:4" x14ac:dyDescent="0.25">
      <c r="A54" t="s">
        <v>123</v>
      </c>
      <c r="B54" t="s">
        <v>155</v>
      </c>
      <c r="C54">
        <v>0.85</v>
      </c>
      <c r="D54">
        <v>0.35</v>
      </c>
    </row>
    <row r="55" spans="1:4" x14ac:dyDescent="0.25">
      <c r="A55" t="s">
        <v>123</v>
      </c>
      <c r="B55" t="s">
        <v>156</v>
      </c>
      <c r="C55">
        <v>0.15</v>
      </c>
      <c r="D55">
        <v>0.35</v>
      </c>
    </row>
    <row r="56" spans="1:4" x14ac:dyDescent="0.25">
      <c r="A56" t="s">
        <v>124</v>
      </c>
      <c r="B56" t="s">
        <v>97</v>
      </c>
      <c r="C56">
        <v>0.5</v>
      </c>
      <c r="D56">
        <v>0.98</v>
      </c>
    </row>
    <row r="57" spans="1:4" x14ac:dyDescent="0.25">
      <c r="A57" t="s">
        <v>124</v>
      </c>
      <c r="B57" t="s">
        <v>158</v>
      </c>
      <c r="C57">
        <v>0.5</v>
      </c>
      <c r="D57">
        <v>0.92</v>
      </c>
    </row>
    <row r="58" spans="1:4" x14ac:dyDescent="0.25">
      <c r="A58" t="s">
        <v>125</v>
      </c>
      <c r="B58" t="s">
        <v>148</v>
      </c>
      <c r="C58">
        <v>0.5</v>
      </c>
      <c r="D58">
        <v>0.4</v>
      </c>
    </row>
    <row r="59" spans="1:4" x14ac:dyDescent="0.25">
      <c r="A59" t="s">
        <v>125</v>
      </c>
      <c r="B59" t="s">
        <v>149</v>
      </c>
      <c r="C59">
        <v>0.5</v>
      </c>
      <c r="D59">
        <v>0.55000000000000004</v>
      </c>
    </row>
    <row r="60" spans="1:4" x14ac:dyDescent="0.25">
      <c r="A60" t="s">
        <v>126</v>
      </c>
      <c r="B60" t="s">
        <v>153</v>
      </c>
      <c r="C60">
        <v>0.15</v>
      </c>
      <c r="D60">
        <v>0.8</v>
      </c>
    </row>
    <row r="61" spans="1:4" x14ac:dyDescent="0.25">
      <c r="A61" t="s">
        <v>126</v>
      </c>
      <c r="B61" t="s">
        <v>152</v>
      </c>
      <c r="C61">
        <v>0.85</v>
      </c>
      <c r="D61">
        <v>0.8</v>
      </c>
    </row>
    <row r="62" spans="1:4" x14ac:dyDescent="0.25">
      <c r="A62" t="s">
        <v>127</v>
      </c>
      <c r="B62" t="s">
        <v>97</v>
      </c>
      <c r="C62">
        <v>0.5</v>
      </c>
      <c r="D62">
        <v>0.98</v>
      </c>
    </row>
    <row r="63" spans="1:4" x14ac:dyDescent="0.25">
      <c r="A63" t="s">
        <v>127</v>
      </c>
      <c r="B63" t="s">
        <v>153</v>
      </c>
      <c r="C63">
        <v>0.15</v>
      </c>
      <c r="D63">
        <v>0.8</v>
      </c>
    </row>
    <row r="64" spans="1:4" x14ac:dyDescent="0.25">
      <c r="A64" t="s">
        <v>128</v>
      </c>
      <c r="B64" t="s">
        <v>153</v>
      </c>
      <c r="C64">
        <v>0.15</v>
      </c>
      <c r="D64">
        <v>0.8</v>
      </c>
    </row>
    <row r="65" spans="1:4" x14ac:dyDescent="0.25">
      <c r="A65" t="s">
        <v>128</v>
      </c>
      <c r="B65" t="s">
        <v>152</v>
      </c>
      <c r="C65">
        <v>0.85</v>
      </c>
      <c r="D65">
        <v>0.8</v>
      </c>
    </row>
    <row r="66" spans="1:4" x14ac:dyDescent="0.25">
      <c r="A66" t="s">
        <v>129</v>
      </c>
      <c r="B66" t="s">
        <v>151</v>
      </c>
      <c r="C66">
        <v>0.5</v>
      </c>
      <c r="D66">
        <v>0.75</v>
      </c>
    </row>
    <row r="67" spans="1:4" x14ac:dyDescent="0.25">
      <c r="A67" t="s">
        <v>129</v>
      </c>
      <c r="B67" t="s">
        <v>152</v>
      </c>
      <c r="C67">
        <v>0.85</v>
      </c>
      <c r="D67">
        <v>0.8</v>
      </c>
    </row>
    <row r="68" spans="1:4" x14ac:dyDescent="0.25">
      <c r="A68" t="s">
        <v>130</v>
      </c>
      <c r="B68" t="s">
        <v>149</v>
      </c>
      <c r="C68">
        <v>0.5</v>
      </c>
      <c r="D68">
        <v>0.55000000000000004</v>
      </c>
    </row>
    <row r="69" spans="1:4" x14ac:dyDescent="0.25">
      <c r="A69" t="s">
        <v>130</v>
      </c>
      <c r="B69" t="s">
        <v>148</v>
      </c>
      <c r="C69">
        <v>0.5</v>
      </c>
      <c r="D69">
        <v>0.4</v>
      </c>
    </row>
    <row r="70" spans="1:4" x14ac:dyDescent="0.25">
      <c r="A70" t="s">
        <v>131</v>
      </c>
      <c r="B70" t="s">
        <v>151</v>
      </c>
      <c r="C70">
        <v>0.5</v>
      </c>
      <c r="D70">
        <v>0.75</v>
      </c>
    </row>
    <row r="71" spans="1:4" x14ac:dyDescent="0.25">
      <c r="A71" t="s">
        <v>131</v>
      </c>
      <c r="B71" t="s">
        <v>153</v>
      </c>
      <c r="C71">
        <v>0.15</v>
      </c>
      <c r="D71">
        <v>0.8</v>
      </c>
    </row>
    <row r="72" spans="1:4" x14ac:dyDescent="0.25">
      <c r="A72" t="s">
        <v>132</v>
      </c>
      <c r="B72" t="s">
        <v>152</v>
      </c>
      <c r="C72">
        <v>0.85</v>
      </c>
      <c r="D72">
        <v>0.8</v>
      </c>
    </row>
    <row r="73" spans="1:4" x14ac:dyDescent="0.25">
      <c r="A73" t="s">
        <v>132</v>
      </c>
      <c r="B73" t="s">
        <v>151</v>
      </c>
      <c r="C73">
        <v>0.5</v>
      </c>
      <c r="D73">
        <v>0.75</v>
      </c>
    </row>
    <row r="74" spans="1:4" x14ac:dyDescent="0.25">
      <c r="A74" t="s">
        <v>133</v>
      </c>
      <c r="B74" t="s">
        <v>148</v>
      </c>
      <c r="C74">
        <v>0.5</v>
      </c>
      <c r="D74">
        <v>0.4</v>
      </c>
    </row>
    <row r="75" spans="1:4" x14ac:dyDescent="0.25">
      <c r="A75" t="s">
        <v>133</v>
      </c>
      <c r="B75" t="s">
        <v>149</v>
      </c>
      <c r="C75">
        <v>0.5</v>
      </c>
      <c r="D75">
        <v>0.55000000000000004</v>
      </c>
    </row>
    <row r="76" spans="1:4" x14ac:dyDescent="0.25">
      <c r="A76" t="s">
        <v>134</v>
      </c>
      <c r="B76" t="s">
        <v>154</v>
      </c>
      <c r="C76">
        <v>0.5</v>
      </c>
      <c r="D76">
        <v>0.2</v>
      </c>
    </row>
    <row r="77" spans="1:4" x14ac:dyDescent="0.25">
      <c r="A77" t="s">
        <v>134</v>
      </c>
      <c r="B77" t="s">
        <v>161</v>
      </c>
      <c r="C77">
        <v>0.65</v>
      </c>
      <c r="D77">
        <v>0.2</v>
      </c>
    </row>
    <row r="78" spans="1:4" x14ac:dyDescent="0.25">
      <c r="A78" t="s">
        <v>135</v>
      </c>
      <c r="B78" t="s">
        <v>151</v>
      </c>
      <c r="C78">
        <v>0.5</v>
      </c>
      <c r="D78">
        <v>0.75</v>
      </c>
    </row>
    <row r="79" spans="1:4" x14ac:dyDescent="0.25">
      <c r="A79" t="s">
        <v>135</v>
      </c>
      <c r="B79" t="s">
        <v>149</v>
      </c>
      <c r="C79">
        <v>0.5</v>
      </c>
      <c r="D79">
        <v>0.55000000000000004</v>
      </c>
    </row>
    <row r="80" spans="1:4" x14ac:dyDescent="0.25">
      <c r="A80" t="s">
        <v>136</v>
      </c>
      <c r="B80" t="s">
        <v>154</v>
      </c>
      <c r="C80">
        <v>0.5</v>
      </c>
      <c r="D80">
        <v>0.2</v>
      </c>
    </row>
    <row r="81" spans="1:4" x14ac:dyDescent="0.25">
      <c r="A81" t="s">
        <v>136</v>
      </c>
      <c r="B81" t="s">
        <v>155</v>
      </c>
      <c r="C81">
        <v>0.85</v>
      </c>
      <c r="D81">
        <v>0.35</v>
      </c>
    </row>
    <row r="82" spans="1:4" x14ac:dyDescent="0.25">
      <c r="A82" t="s">
        <v>137</v>
      </c>
      <c r="B82" t="s">
        <v>162</v>
      </c>
      <c r="C82">
        <v>0.5</v>
      </c>
      <c r="D82">
        <v>0.05</v>
      </c>
    </row>
    <row r="83" spans="1:4" x14ac:dyDescent="0.25">
      <c r="A83" t="s">
        <v>138</v>
      </c>
      <c r="B83" t="s">
        <v>152</v>
      </c>
      <c r="C83">
        <v>0.85</v>
      </c>
      <c r="D83">
        <v>0.8</v>
      </c>
    </row>
    <row r="84" spans="1:4" x14ac:dyDescent="0.25">
      <c r="A84" t="s">
        <v>138</v>
      </c>
      <c r="B84" t="s">
        <v>153</v>
      </c>
      <c r="C84">
        <v>0.15</v>
      </c>
      <c r="D84">
        <v>0.8</v>
      </c>
    </row>
    <row r="85" spans="1:4" x14ac:dyDescent="0.25">
      <c r="A85" t="s">
        <v>139</v>
      </c>
      <c r="B85" t="s">
        <v>156</v>
      </c>
      <c r="C85">
        <v>0.15</v>
      </c>
      <c r="D85">
        <v>0.35</v>
      </c>
    </row>
    <row r="86" spans="1:4" x14ac:dyDescent="0.25">
      <c r="A86" t="s">
        <v>139</v>
      </c>
      <c r="B86" t="s">
        <v>157</v>
      </c>
      <c r="C86">
        <v>0.1</v>
      </c>
      <c r="D86">
        <v>0.45</v>
      </c>
    </row>
    <row r="87" spans="1:4" x14ac:dyDescent="0.25">
      <c r="A87" t="s">
        <v>140</v>
      </c>
      <c r="B87" t="s">
        <v>152</v>
      </c>
      <c r="C87">
        <v>0.85</v>
      </c>
      <c r="D87">
        <v>0.8</v>
      </c>
    </row>
    <row r="88" spans="1:4" x14ac:dyDescent="0.25">
      <c r="A88" t="s">
        <v>140</v>
      </c>
      <c r="B88" t="s">
        <v>153</v>
      </c>
      <c r="C88">
        <v>0.15</v>
      </c>
      <c r="D88">
        <v>0.8</v>
      </c>
    </row>
    <row r="89" spans="1:4" x14ac:dyDescent="0.25">
      <c r="A89" t="s">
        <v>141</v>
      </c>
      <c r="B89" t="s">
        <v>97</v>
      </c>
      <c r="C89">
        <v>0.5</v>
      </c>
      <c r="D89">
        <v>0.98</v>
      </c>
    </row>
    <row r="90" spans="1:4" x14ac:dyDescent="0.25">
      <c r="A90" t="s">
        <v>141</v>
      </c>
      <c r="B90" t="s">
        <v>158</v>
      </c>
      <c r="C90">
        <v>0.5</v>
      </c>
      <c r="D90">
        <v>0.92</v>
      </c>
    </row>
    <row r="91" spans="1:4" x14ac:dyDescent="0.25">
      <c r="A91" t="s">
        <v>142</v>
      </c>
      <c r="B91" t="s">
        <v>152</v>
      </c>
      <c r="C91">
        <v>0.85</v>
      </c>
      <c r="D91">
        <v>0.8</v>
      </c>
    </row>
    <row r="92" spans="1:4" x14ac:dyDescent="0.25">
      <c r="A92" t="s">
        <v>142</v>
      </c>
      <c r="B92" t="s">
        <v>151</v>
      </c>
      <c r="C92">
        <v>0.5</v>
      </c>
      <c r="D92">
        <v>0.75</v>
      </c>
    </row>
    <row r="93" spans="1:4" x14ac:dyDescent="0.25">
      <c r="A93" t="s">
        <v>143</v>
      </c>
      <c r="B93" t="s">
        <v>149</v>
      </c>
      <c r="C93">
        <v>0.5</v>
      </c>
      <c r="D93">
        <v>0.55000000000000004</v>
      </c>
    </row>
    <row r="94" spans="1:4" x14ac:dyDescent="0.25">
      <c r="A94" t="s">
        <v>143</v>
      </c>
      <c r="B94" t="s">
        <v>148</v>
      </c>
      <c r="C94">
        <v>0.5</v>
      </c>
      <c r="D94">
        <v>0.4</v>
      </c>
    </row>
    <row r="95" spans="1:4" x14ac:dyDescent="0.25">
      <c r="A95" t="s">
        <v>144</v>
      </c>
      <c r="B95" t="s">
        <v>151</v>
      </c>
      <c r="C95">
        <v>0.5</v>
      </c>
      <c r="D95">
        <v>0.75</v>
      </c>
    </row>
    <row r="96" spans="1:4" x14ac:dyDescent="0.25">
      <c r="A96" t="s">
        <v>144</v>
      </c>
      <c r="B96" t="s">
        <v>152</v>
      </c>
      <c r="C96">
        <v>0.85</v>
      </c>
      <c r="D96">
        <v>0.8</v>
      </c>
    </row>
    <row r="97" spans="1:4" x14ac:dyDescent="0.25">
      <c r="A97" t="s">
        <v>145</v>
      </c>
      <c r="B97" t="s">
        <v>153</v>
      </c>
      <c r="C97">
        <v>0.15</v>
      </c>
      <c r="D97">
        <v>0.8</v>
      </c>
    </row>
    <row r="98" spans="1:4" x14ac:dyDescent="0.25">
      <c r="A98" t="s">
        <v>145</v>
      </c>
      <c r="B98" t="s">
        <v>151</v>
      </c>
      <c r="C98">
        <v>0.5</v>
      </c>
      <c r="D98">
        <v>0.75</v>
      </c>
    </row>
    <row r="99" spans="1:4" x14ac:dyDescent="0.25">
      <c r="A99" t="s">
        <v>146</v>
      </c>
      <c r="B99" t="s">
        <v>154</v>
      </c>
      <c r="C99">
        <v>0.5</v>
      </c>
      <c r="D99">
        <v>0.2</v>
      </c>
    </row>
    <row r="100" spans="1:4" x14ac:dyDescent="0.25">
      <c r="A100" t="s">
        <v>146</v>
      </c>
      <c r="B100" t="s">
        <v>161</v>
      </c>
      <c r="C100">
        <v>0.65</v>
      </c>
      <c r="D100">
        <v>0.2</v>
      </c>
    </row>
    <row r="101" spans="1:4" x14ac:dyDescent="0.25">
      <c r="A101" t="s">
        <v>147</v>
      </c>
      <c r="B101" t="s">
        <v>97</v>
      </c>
      <c r="C101">
        <v>0.5</v>
      </c>
      <c r="D101">
        <v>0.98</v>
      </c>
    </row>
    <row r="102" spans="1:4" x14ac:dyDescent="0.25">
      <c r="A102" t="s">
        <v>147</v>
      </c>
      <c r="B102" t="s">
        <v>158</v>
      </c>
      <c r="C102">
        <v>0.5</v>
      </c>
      <c r="D102">
        <v>0.92</v>
      </c>
    </row>
  </sheetData>
  <autoFilter ref="A1:D102" xr:uid="{48CDA60C-E5C2-4327-ACDF-75F8DE380B4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players_information</vt:lpstr>
      <vt:lpstr>player_position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Marselius Agus Dhion</dc:creator>
  <cp:lastModifiedBy>Marselius Agus Dhion</cp:lastModifiedBy>
  <dcterms:created xsi:type="dcterms:W3CDTF">2015-06-05T18:17:20Z</dcterms:created>
  <dcterms:modified xsi:type="dcterms:W3CDTF">2026-02-26T08:44:52Z</dcterms:modified>
</cp:coreProperties>
</file>