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Github\World-Cup-2026-\worldcup-master\data-csv\"/>
    </mc:Choice>
  </mc:AlternateContent>
  <xr:revisionPtr revIDLastSave="0" documentId="13_ncr:1_{49D43E18-C890-4513-9DB1-1D7086880CD6}" xr6:coauthVersionLast="47" xr6:coauthVersionMax="47" xr10:uidLastSave="{00000000-0000-0000-0000-000000000000}"/>
  <bookViews>
    <workbookView xWindow="-120" yWindow="-120" windowWidth="20730" windowHeight="11040" tabRatio="647" firstSheet="3" activeTab="3" xr2:uid="{00000000-000D-0000-FFFF-FFFF00000000}"/>
  </bookViews>
  <sheets>
    <sheet name="sankey" sheetId="1" r:id="rId1"/>
    <sheet name="deneb_arc" sheetId="2" r:id="rId2"/>
    <sheet name="line_chart_sankey" sheetId="11" r:id="rId3"/>
    <sheet name="line_sankey_diagram" sheetId="15" r:id="rId4"/>
    <sheet name="qualified_teams_copy" sheetId="14" r:id="rId5"/>
    <sheet name="Summary Farthest Perf." sheetId="12" r:id="rId6"/>
    <sheet name="Sheet2" sheetId="13" r:id="rId7"/>
  </sheets>
  <definedNames>
    <definedName name="_xlnm._FilterDatabase" localSheetId="2" hidden="1">line_chart_sankey!$M$1:$M$171</definedName>
    <definedName name="_xlnm._FilterDatabase" localSheetId="4" hidden="1">qualified_teams_copy!$A$1:$K$626</definedName>
    <definedName name="_xlnm._FilterDatabase" localSheetId="6" hidden="1">Sheet2!$A$1:$K$86</definedName>
    <definedName name="_xlnm._FilterDatabase" localSheetId="5" hidden="1">'Summary Farthest Perf.'!$A$1:$I$490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1" i="11" l="1"/>
  <c r="O170" i="11"/>
  <c r="O169" i="11"/>
  <c r="O168" i="11"/>
  <c r="O167" i="11"/>
  <c r="O166" i="11"/>
  <c r="O165" i="11"/>
  <c r="O164" i="11"/>
  <c r="O163" i="11"/>
  <c r="O162" i="11"/>
  <c r="O161" i="11"/>
  <c r="O160" i="11"/>
  <c r="O159" i="11"/>
  <c r="O158" i="11"/>
  <c r="O157" i="11"/>
  <c r="O156" i="11"/>
  <c r="O155" i="11"/>
  <c r="O154" i="11"/>
  <c r="O153" i="11"/>
  <c r="O152" i="11"/>
  <c r="O151" i="11"/>
  <c r="O150" i="11"/>
  <c r="O149" i="11"/>
  <c r="O148" i="11"/>
  <c r="O147" i="11"/>
  <c r="O146" i="11"/>
  <c r="O145" i="11"/>
  <c r="O144" i="11"/>
  <c r="O143" i="11"/>
  <c r="O142" i="11"/>
  <c r="O141" i="11"/>
  <c r="O140" i="11"/>
  <c r="O139" i="11"/>
  <c r="O138" i="11"/>
  <c r="O137" i="11"/>
  <c r="O136" i="11"/>
  <c r="O135" i="11"/>
  <c r="O134" i="11"/>
  <c r="O133" i="11"/>
  <c r="O132" i="11"/>
  <c r="O131" i="11"/>
  <c r="O130" i="11"/>
  <c r="O129" i="11"/>
  <c r="O128" i="11"/>
  <c r="O127" i="11"/>
  <c r="O126" i="11"/>
  <c r="O125" i="11"/>
  <c r="O124" i="11"/>
  <c r="O123" i="11"/>
  <c r="O122" i="11"/>
  <c r="O121" i="11"/>
  <c r="O120" i="11"/>
  <c r="O119" i="11"/>
  <c r="O118" i="11"/>
  <c r="O117" i="11"/>
  <c r="O116" i="11"/>
  <c r="O115" i="11"/>
  <c r="O114" i="11"/>
  <c r="O112" i="11"/>
  <c r="O111" i="11"/>
  <c r="O110" i="11"/>
  <c r="O109" i="11"/>
  <c r="O108" i="11"/>
  <c r="O107" i="11"/>
  <c r="O106" i="11"/>
  <c r="O105" i="11"/>
  <c r="O104" i="11"/>
  <c r="O103" i="11"/>
  <c r="O102" i="11"/>
  <c r="O101" i="11"/>
  <c r="O100" i="11"/>
  <c r="O99" i="11"/>
  <c r="O98" i="11"/>
  <c r="O97" i="11"/>
  <c r="O96" i="11"/>
  <c r="O95" i="11"/>
  <c r="O94" i="11"/>
  <c r="O93" i="11"/>
  <c r="O92" i="11"/>
  <c r="O91" i="11"/>
  <c r="O90" i="11"/>
  <c r="O89" i="11"/>
  <c r="O88" i="11"/>
  <c r="O87" i="11"/>
  <c r="O86" i="11"/>
  <c r="O85" i="11"/>
  <c r="O84" i="11"/>
  <c r="O83" i="11"/>
  <c r="O82" i="11"/>
  <c r="O81" i="11"/>
  <c r="O80" i="11"/>
  <c r="O79" i="11"/>
  <c r="O78" i="11"/>
  <c r="O77" i="11"/>
  <c r="O76" i="11"/>
  <c r="O75" i="11"/>
  <c r="O74" i="11"/>
  <c r="O73" i="11"/>
  <c r="O72" i="11"/>
  <c r="O71" i="11"/>
  <c r="O70" i="11"/>
  <c r="O69" i="11"/>
  <c r="O68" i="11"/>
  <c r="O67" i="11"/>
  <c r="O66" i="11"/>
  <c r="O65" i="11"/>
  <c r="O64" i="11"/>
  <c r="O63" i="11"/>
  <c r="O62" i="11"/>
  <c r="O61" i="11"/>
  <c r="O60" i="11"/>
  <c r="O59" i="11"/>
  <c r="O58" i="11"/>
  <c r="O57" i="11"/>
  <c r="O56" i="11"/>
  <c r="O55" i="11"/>
  <c r="O54" i="11"/>
  <c r="O53" i="11"/>
  <c r="O52" i="11"/>
  <c r="O51" i="11"/>
  <c r="O50" i="11"/>
  <c r="O49" i="11"/>
  <c r="O48" i="11"/>
  <c r="O47" i="11"/>
  <c r="O46" i="11"/>
  <c r="O45" i="11"/>
  <c r="O44" i="11"/>
  <c r="O43" i="11"/>
  <c r="O42" i="11"/>
  <c r="O41" i="11"/>
  <c r="O40" i="11"/>
  <c r="O39" i="11"/>
  <c r="O38" i="11"/>
  <c r="O37" i="11"/>
  <c r="O36" i="11"/>
  <c r="O35" i="11"/>
  <c r="O34" i="11"/>
  <c r="O33" i="11"/>
  <c r="O32" i="11"/>
  <c r="O31" i="11"/>
  <c r="O30" i="11"/>
  <c r="O29" i="11"/>
  <c r="O28" i="11"/>
  <c r="O27" i="11"/>
  <c r="O26" i="11"/>
  <c r="O25" i="11"/>
  <c r="O24" i="11"/>
  <c r="O23" i="11"/>
  <c r="O22" i="11"/>
  <c r="O21" i="11"/>
  <c r="O20" i="11"/>
  <c r="O19" i="11"/>
  <c r="O18" i="11"/>
  <c r="O17" i="11"/>
  <c r="O16" i="11"/>
  <c r="O15" i="11"/>
  <c r="O14" i="11"/>
  <c r="O13" i="11"/>
  <c r="O12" i="11"/>
  <c r="O11" i="11"/>
  <c r="O10" i="11"/>
  <c r="O9" i="11"/>
  <c r="O8" i="11"/>
  <c r="O7" i="11"/>
  <c r="O6" i="11"/>
  <c r="O5" i="11"/>
  <c r="O4" i="11"/>
  <c r="O3" i="11"/>
  <c r="O2" i="11"/>
  <c r="N171" i="11"/>
  <c r="N170" i="11"/>
  <c r="N169" i="11"/>
  <c r="N168" i="11"/>
  <c r="N167" i="11"/>
  <c r="N166" i="11"/>
  <c r="N165" i="11"/>
  <c r="N164" i="11"/>
  <c r="N163" i="11"/>
  <c r="N162" i="11"/>
  <c r="N161" i="11"/>
  <c r="N160" i="11"/>
  <c r="N159" i="11"/>
  <c r="N158" i="11"/>
  <c r="N157" i="11"/>
  <c r="N156" i="11"/>
  <c r="N155" i="11"/>
  <c r="N154" i="11"/>
  <c r="N153" i="11"/>
  <c r="N152" i="11"/>
  <c r="N151" i="11"/>
  <c r="N150" i="11"/>
  <c r="N149" i="11"/>
  <c r="N148" i="11"/>
  <c r="N147" i="11"/>
  <c r="N146" i="11"/>
  <c r="N145" i="11"/>
  <c r="N144" i="11"/>
  <c r="N143" i="11"/>
  <c r="N142" i="11"/>
  <c r="N141" i="11"/>
  <c r="N140" i="11"/>
  <c r="N139" i="11"/>
  <c r="N138" i="11"/>
  <c r="N137" i="11"/>
  <c r="N136" i="11"/>
  <c r="N135" i="11"/>
  <c r="N134" i="11"/>
  <c r="N133" i="11"/>
  <c r="N132" i="11"/>
  <c r="N131" i="11"/>
  <c r="N130" i="11"/>
  <c r="N129" i="11"/>
  <c r="N128" i="11"/>
  <c r="N127" i="11"/>
  <c r="N126" i="11"/>
  <c r="N125" i="11"/>
  <c r="N124" i="11"/>
  <c r="N123" i="11"/>
  <c r="N122" i="11"/>
  <c r="N121" i="11"/>
  <c r="N120" i="11"/>
  <c r="N119" i="11"/>
  <c r="N118" i="11"/>
  <c r="N117" i="11"/>
  <c r="N116" i="11"/>
  <c r="N115" i="11"/>
  <c r="N114" i="11"/>
  <c r="N112" i="11"/>
  <c r="N111" i="11"/>
  <c r="N110" i="11"/>
  <c r="N109" i="11"/>
  <c r="N108" i="11"/>
  <c r="N107" i="11"/>
  <c r="N106" i="11"/>
  <c r="N105" i="11"/>
  <c r="N104" i="11"/>
  <c r="N103" i="11"/>
  <c r="N102" i="11"/>
  <c r="N101" i="11"/>
  <c r="N100" i="11"/>
  <c r="N99" i="11"/>
  <c r="N98" i="11"/>
  <c r="N97" i="11"/>
  <c r="N96" i="11"/>
  <c r="N95" i="11"/>
  <c r="N94" i="11"/>
  <c r="N93" i="11"/>
  <c r="N92" i="11"/>
  <c r="N91" i="11"/>
  <c r="N90" i="11"/>
  <c r="N89" i="11"/>
  <c r="N88" i="11"/>
  <c r="N87" i="11"/>
  <c r="N86" i="11"/>
  <c r="N85" i="11"/>
  <c r="N84" i="11"/>
  <c r="N83" i="11"/>
  <c r="N82" i="11"/>
  <c r="N81" i="11"/>
  <c r="N80" i="11"/>
  <c r="N79" i="11"/>
  <c r="N78" i="11"/>
  <c r="N77" i="11"/>
  <c r="N76" i="11"/>
  <c r="N75" i="11"/>
  <c r="N74" i="11"/>
  <c r="N73" i="11"/>
  <c r="N72" i="11"/>
  <c r="N71" i="11"/>
  <c r="N70" i="11"/>
  <c r="N69" i="11"/>
  <c r="N68" i="11"/>
  <c r="N67" i="11"/>
  <c r="N66" i="11"/>
  <c r="N65" i="11"/>
  <c r="N64" i="11"/>
  <c r="N63" i="11"/>
  <c r="N62" i="11"/>
  <c r="N61" i="11"/>
  <c r="N60" i="11"/>
  <c r="N59" i="11"/>
  <c r="N58" i="11"/>
  <c r="N57" i="11"/>
  <c r="N56" i="11"/>
  <c r="N55" i="11"/>
  <c r="N54" i="11"/>
  <c r="N53" i="11"/>
  <c r="N52" i="11"/>
  <c r="N51" i="11"/>
  <c r="N50" i="11"/>
  <c r="N47" i="11"/>
  <c r="N46" i="11"/>
  <c r="N45" i="11"/>
  <c r="N44" i="11"/>
  <c r="N43" i="11"/>
  <c r="N42" i="11"/>
  <c r="N41" i="11"/>
  <c r="N40" i="11"/>
  <c r="N39" i="11"/>
  <c r="N38" i="11"/>
  <c r="N37" i="11"/>
  <c r="N36" i="11"/>
  <c r="N35" i="11"/>
  <c r="N34" i="11"/>
  <c r="N33" i="11"/>
  <c r="N32" i="11"/>
  <c r="N31" i="11"/>
  <c r="N30" i="11"/>
  <c r="N29" i="11"/>
  <c r="N28" i="11"/>
  <c r="N27" i="11"/>
  <c r="N26" i="11"/>
  <c r="N25" i="11"/>
  <c r="N24" i="11"/>
  <c r="N23" i="11"/>
  <c r="N22" i="11"/>
  <c r="N21" i="11"/>
  <c r="N20" i="11"/>
  <c r="N19" i="11"/>
  <c r="N18" i="11"/>
  <c r="N17" i="11"/>
  <c r="N16" i="11"/>
  <c r="N15" i="11"/>
  <c r="N14" i="11"/>
  <c r="N13" i="11"/>
  <c r="N12" i="11"/>
  <c r="N11" i="11"/>
  <c r="N10" i="11"/>
  <c r="N9" i="11"/>
  <c r="N8" i="11"/>
  <c r="N7" i="11"/>
  <c r="N6" i="11"/>
  <c r="N5" i="11"/>
  <c r="N4" i="11"/>
  <c r="N3" i="11"/>
  <c r="M171" i="11"/>
  <c r="M170" i="11"/>
  <c r="M169" i="11"/>
  <c r="M168" i="11"/>
  <c r="M167" i="11"/>
  <c r="M166" i="11"/>
  <c r="M165" i="11"/>
  <c r="M164" i="11"/>
  <c r="M163" i="11"/>
  <c r="M162" i="11"/>
  <c r="M161" i="11"/>
  <c r="M160" i="11"/>
  <c r="M159" i="11"/>
  <c r="M158" i="11"/>
  <c r="M157" i="11"/>
  <c r="M156" i="11"/>
  <c r="M155" i="11"/>
  <c r="M154" i="11"/>
  <c r="M153" i="11"/>
  <c r="M152" i="11"/>
  <c r="M151" i="11"/>
  <c r="M150" i="11"/>
  <c r="M149" i="11"/>
  <c r="M148" i="11"/>
  <c r="M147" i="11"/>
  <c r="M146" i="11"/>
  <c r="M145" i="11"/>
  <c r="M144" i="11"/>
  <c r="M143" i="11"/>
  <c r="M142" i="11"/>
  <c r="M141" i="11"/>
  <c r="M140" i="11"/>
  <c r="M139" i="11"/>
  <c r="M138" i="11"/>
  <c r="M137" i="11"/>
  <c r="M136" i="11"/>
  <c r="M135" i="11"/>
  <c r="M134" i="11"/>
  <c r="M133" i="11"/>
  <c r="M132" i="11"/>
  <c r="M131" i="11"/>
  <c r="M130" i="11"/>
  <c r="M129" i="11"/>
  <c r="M128" i="11"/>
  <c r="M127" i="11"/>
  <c r="M126" i="11"/>
  <c r="M125" i="11"/>
  <c r="M124" i="11"/>
  <c r="M123" i="11"/>
  <c r="M122" i="11"/>
  <c r="M121" i="11"/>
  <c r="M120" i="11"/>
  <c r="M119" i="11"/>
  <c r="M118" i="11"/>
  <c r="M117" i="11"/>
  <c r="M116" i="11"/>
  <c r="M115" i="11"/>
  <c r="M114" i="11"/>
  <c r="M112" i="11"/>
  <c r="M111" i="11"/>
  <c r="M110" i="11"/>
  <c r="M109" i="11"/>
  <c r="M108" i="11"/>
  <c r="M107" i="11"/>
  <c r="M106" i="11"/>
  <c r="M105" i="11"/>
  <c r="M104" i="11"/>
  <c r="M103" i="11"/>
  <c r="M102" i="11"/>
  <c r="M101" i="11"/>
  <c r="M100" i="11"/>
  <c r="M99" i="11"/>
  <c r="M98" i="11"/>
  <c r="M97" i="11"/>
  <c r="M96" i="11"/>
  <c r="M95" i="11"/>
  <c r="M94" i="11"/>
  <c r="M93" i="11"/>
  <c r="M92" i="11"/>
  <c r="M91" i="11"/>
  <c r="M90" i="11"/>
  <c r="M89" i="11"/>
  <c r="M88" i="11"/>
  <c r="M87" i="11"/>
  <c r="M86" i="11"/>
  <c r="M85" i="11"/>
  <c r="M84" i="11"/>
  <c r="M83" i="11"/>
  <c r="M82" i="11"/>
  <c r="M81" i="11"/>
  <c r="M80" i="11"/>
  <c r="M79" i="11"/>
  <c r="M78" i="11"/>
  <c r="M77" i="11"/>
  <c r="M76" i="11"/>
  <c r="M75" i="11"/>
  <c r="M74" i="11"/>
  <c r="M73" i="11"/>
  <c r="M72" i="11"/>
  <c r="M71" i="11"/>
  <c r="M70" i="11"/>
  <c r="M69" i="11"/>
  <c r="M68" i="11"/>
  <c r="M67" i="11"/>
  <c r="M66" i="11"/>
  <c r="M65" i="11"/>
  <c r="M64" i="11"/>
  <c r="M63" i="11"/>
  <c r="M62" i="11"/>
  <c r="M61" i="11"/>
  <c r="M60" i="11"/>
  <c r="M59" i="11"/>
  <c r="M58" i="11"/>
  <c r="M57" i="11"/>
  <c r="M56" i="11"/>
  <c r="M55" i="11"/>
  <c r="M54" i="11"/>
  <c r="M53" i="11"/>
  <c r="M52" i="11"/>
  <c r="M51" i="11"/>
  <c r="M50" i="11"/>
  <c r="M47" i="11"/>
  <c r="M46" i="11"/>
  <c r="M45" i="11"/>
  <c r="M44" i="11"/>
  <c r="M43" i="11"/>
  <c r="M42" i="11"/>
  <c r="M41" i="11"/>
  <c r="M40" i="11"/>
  <c r="M39" i="11"/>
  <c r="M38" i="11"/>
  <c r="M37" i="11"/>
  <c r="M36" i="11"/>
  <c r="M35" i="11"/>
  <c r="M34" i="11"/>
  <c r="M33" i="11"/>
  <c r="M32" i="11"/>
  <c r="M31" i="11"/>
  <c r="M30" i="11"/>
  <c r="M29" i="11"/>
  <c r="M28" i="11"/>
  <c r="M27" i="11"/>
  <c r="M26" i="11"/>
  <c r="M25" i="11"/>
  <c r="M24" i="11"/>
  <c r="M23" i="11"/>
  <c r="M22" i="11"/>
  <c r="M21" i="11"/>
  <c r="M20" i="11"/>
  <c r="M19" i="11"/>
  <c r="M18" i="11"/>
  <c r="M17" i="11"/>
  <c r="M16" i="11"/>
  <c r="M15" i="11"/>
  <c r="M14" i="11"/>
  <c r="M13" i="11"/>
  <c r="M12" i="11"/>
  <c r="M11" i="11"/>
  <c r="M10" i="11"/>
  <c r="M9" i="11"/>
  <c r="M8" i="11"/>
  <c r="M7" i="11"/>
  <c r="M6" i="11"/>
  <c r="M5" i="11"/>
  <c r="M4" i="11"/>
  <c r="M3" i="11"/>
  <c r="M2" i="11"/>
  <c r="N2" i="11"/>
</calcChain>
</file>

<file path=xl/sharedStrings.xml><?xml version="1.0" encoding="utf-8"?>
<sst xmlns="http://schemas.openxmlformats.org/spreadsheetml/2006/main" count="12616" uniqueCount="411">
  <si>
    <t>stage</t>
  </si>
  <si>
    <t>order</t>
  </si>
  <si>
    <t>color</t>
  </si>
  <si>
    <t>description</t>
  </si>
  <si>
    <t>Group Stage</t>
  </si>
  <si>
    <t>#E74C3C</t>
  </si>
  <si>
    <t>32 teams</t>
  </si>
  <si>
    <t>Round of 16</t>
  </si>
  <si>
    <t>#F39C12</t>
  </si>
  <si>
    <t>16 teams</t>
  </si>
  <si>
    <t>Quarter-finals</t>
  </si>
  <si>
    <t>#3498DB</t>
  </si>
  <si>
    <t>8 teams</t>
  </si>
  <si>
    <t>Semi-finals</t>
  </si>
  <si>
    <t>#2ECC71</t>
  </si>
  <si>
    <t>4 teams</t>
  </si>
  <si>
    <t>Finals</t>
  </si>
  <si>
    <t>#27AE60</t>
  </si>
  <si>
    <t>2 teams</t>
  </si>
  <si>
    <t>Winner</t>
  </si>
  <si>
    <t>#F1C40F</t>
  </si>
  <si>
    <t>Champion</t>
  </si>
  <si>
    <t>Country</t>
  </si>
  <si>
    <t>Year</t>
  </si>
  <si>
    <t>ArcY</t>
  </si>
  <si>
    <t>Brazil</t>
  </si>
  <si>
    <t>Germany</t>
  </si>
  <si>
    <t>team_name</t>
  </si>
  <si>
    <t>team_region</t>
  </si>
  <si>
    <t>team_confederation_code</t>
  </si>
  <si>
    <t>tournament_id</t>
  </si>
  <si>
    <t>team_code</t>
  </si>
  <si>
    <t>farthest_stage</t>
  </si>
  <si>
    <t>tournament_name</t>
  </si>
  <si>
    <t>Scotland</t>
  </si>
  <si>
    <t>Europe</t>
  </si>
  <si>
    <t>UEFA</t>
  </si>
  <si>
    <t>WC-1958</t>
  </si>
  <si>
    <t>SCO</t>
  </si>
  <si>
    <t>1958 FIFA Men's World Cup</t>
  </si>
  <si>
    <t>Hungary</t>
  </si>
  <si>
    <t>HUN</t>
  </si>
  <si>
    <t>France</t>
  </si>
  <si>
    <t>WC-1966</t>
  </si>
  <si>
    <t>FRA</t>
  </si>
  <si>
    <t>1966 FIFA Men's World Cup</t>
  </si>
  <si>
    <t>Sweden</t>
  </si>
  <si>
    <t>WC-1970</t>
  </si>
  <si>
    <t>SWE</t>
  </si>
  <si>
    <t>1970 FIFA Men's World Cup</t>
  </si>
  <si>
    <t>Bulgaria</t>
  </si>
  <si>
    <t>BGR</t>
  </si>
  <si>
    <t>East Germany</t>
  </si>
  <si>
    <t>WC-1974</t>
  </si>
  <si>
    <t>DDR</t>
  </si>
  <si>
    <t>1974 FIFA Men's World Cup</t>
  </si>
  <si>
    <t>Italy</t>
  </si>
  <si>
    <t>ITA</t>
  </si>
  <si>
    <t>Yugoslavia</t>
  </si>
  <si>
    <t>YUG</t>
  </si>
  <si>
    <t>WC-1978</t>
  </si>
  <si>
    <t>1978 FIFA Men's World Cup</t>
  </si>
  <si>
    <t>Spain</t>
  </si>
  <si>
    <t>WC-1982</t>
  </si>
  <si>
    <t>ESP</t>
  </si>
  <si>
    <t>1982 FIFA Men's World Cup</t>
  </si>
  <si>
    <t>Czechoslovakia</t>
  </si>
  <si>
    <t>CSK</t>
  </si>
  <si>
    <t>Northern Ireland</t>
  </si>
  <si>
    <t>NIR</t>
  </si>
  <si>
    <t>Belgium</t>
  </si>
  <si>
    <t>BEL</t>
  </si>
  <si>
    <t>WC-1986</t>
  </si>
  <si>
    <t>1986 FIFA Men's World Cup</t>
  </si>
  <si>
    <t>Austria</t>
  </si>
  <si>
    <t>WC-1998</t>
  </si>
  <si>
    <t>AUT</t>
  </si>
  <si>
    <t>1998 FIFA Men's World Cup</t>
  </si>
  <si>
    <t>WC-2010</t>
  </si>
  <si>
    <t>2010 FIFA Men's World Cup</t>
  </si>
  <si>
    <t>Iceland</t>
  </si>
  <si>
    <t>WC-2018</t>
  </si>
  <si>
    <t>ISL</t>
  </si>
  <si>
    <t>2018 FIFA Men's World Cup</t>
  </si>
  <si>
    <t>Wales</t>
  </si>
  <si>
    <t>WC-2022</t>
  </si>
  <si>
    <t>WAL</t>
  </si>
  <si>
    <t>2022 FIFA Men's World Cup</t>
  </si>
  <si>
    <t>DEU</t>
  </si>
  <si>
    <t>WC-1962</t>
  </si>
  <si>
    <t>1962 FIFA Men's World Cup</t>
  </si>
  <si>
    <t>Poland</t>
  </si>
  <si>
    <t>POL</t>
  </si>
  <si>
    <t>England</t>
  </si>
  <si>
    <t>ENG</t>
  </si>
  <si>
    <t>Portugal</t>
  </si>
  <si>
    <t>PRT</t>
  </si>
  <si>
    <t>Norway</t>
  </si>
  <si>
    <t>WC-1994</t>
  </si>
  <si>
    <t>NOR</t>
  </si>
  <si>
    <t>1994 FIFA Men's World Cup</t>
  </si>
  <si>
    <t>Slovenia</t>
  </si>
  <si>
    <t>SVN</t>
  </si>
  <si>
    <t>Switzerland</t>
  </si>
  <si>
    <t>CHE</t>
  </si>
  <si>
    <t>Serbia</t>
  </si>
  <si>
    <t>SRB</t>
  </si>
  <si>
    <t>WC-1990</t>
  </si>
  <si>
    <t>1990 FIFA Men's World Cup</t>
  </si>
  <si>
    <t>WC-2002</t>
  </si>
  <si>
    <t>2002 FIFA Men's World Cup</t>
  </si>
  <si>
    <t>Denmark</t>
  </si>
  <si>
    <t>DNK</t>
  </si>
  <si>
    <t>Croatia</t>
  </si>
  <si>
    <t>WC-2014</t>
  </si>
  <si>
    <t>HRV</t>
  </si>
  <si>
    <t>2014 FIFA Men's World Cup</t>
  </si>
  <si>
    <t>Bosnia and Herzegovina</t>
  </si>
  <si>
    <t>BIH</t>
  </si>
  <si>
    <t>WC-1930</t>
  </si>
  <si>
    <t>1930 FIFA Men's World Cup</t>
  </si>
  <si>
    <t>Romania</t>
  </si>
  <si>
    <t>ROU</t>
  </si>
  <si>
    <t>Greece</t>
  </si>
  <si>
    <t>GRC</t>
  </si>
  <si>
    <t>WC-2006</t>
  </si>
  <si>
    <t>2006 FIFA Men's World Cup</t>
  </si>
  <si>
    <t>Serbia and Montenegro</t>
  </si>
  <si>
    <t>SCG</t>
  </si>
  <si>
    <t>Czech Republic</t>
  </si>
  <si>
    <t>CZE</t>
  </si>
  <si>
    <t>West Germany</t>
  </si>
  <si>
    <t>Republic of Ireland</t>
  </si>
  <si>
    <t>IRL</t>
  </si>
  <si>
    <t>Netherlands</t>
  </si>
  <si>
    <t>NLD</t>
  </si>
  <si>
    <t>Slovakia</t>
  </si>
  <si>
    <t>SVK</t>
  </si>
  <si>
    <t>Ukraine</t>
  </si>
  <si>
    <t>UKR</t>
  </si>
  <si>
    <t>Semi-Finals</t>
  </si>
  <si>
    <t>WC-1934</t>
  </si>
  <si>
    <t>1934 FIFA Men's World Cup</t>
  </si>
  <si>
    <t>WC-1938</t>
  </si>
  <si>
    <t>1938 FIFA Men's World Cup</t>
  </si>
  <si>
    <t>South America</t>
  </si>
  <si>
    <t>CONMEBOL</t>
  </si>
  <si>
    <t>BRA</t>
  </si>
  <si>
    <t>Turkey</t>
  </si>
  <si>
    <t>Europe, Asia</t>
  </si>
  <si>
    <t>TUR</t>
  </si>
  <si>
    <t>South Korea</t>
  </si>
  <si>
    <t>East Asia</t>
  </si>
  <si>
    <t>AFC</t>
  </si>
  <si>
    <t>KOR</t>
  </si>
  <si>
    <t>Soviet Union</t>
  </si>
  <si>
    <t>SUN</t>
  </si>
  <si>
    <t>Uruguay</t>
  </si>
  <si>
    <t>URY</t>
  </si>
  <si>
    <t>Chile</t>
  </si>
  <si>
    <t>CHL</t>
  </si>
  <si>
    <t>Morocco</t>
  </si>
  <si>
    <t>Africa</t>
  </si>
  <si>
    <t>CAF</t>
  </si>
  <si>
    <t>MAR</t>
  </si>
  <si>
    <t>Argentina</t>
  </si>
  <si>
    <t>ARG</t>
  </si>
  <si>
    <t>North Korea</t>
  </si>
  <si>
    <t>PRK</t>
  </si>
  <si>
    <t>Mexico</t>
  </si>
  <si>
    <t>North America</t>
  </si>
  <si>
    <t>CONCACAF</t>
  </si>
  <si>
    <t>MEX</t>
  </si>
  <si>
    <t>Paraguay</t>
  </si>
  <si>
    <t>PRY</t>
  </si>
  <si>
    <t>Colombia</t>
  </si>
  <si>
    <t>COL</t>
  </si>
  <si>
    <t>United States</t>
  </si>
  <si>
    <t>USA</t>
  </si>
  <si>
    <t>Senegal</t>
  </si>
  <si>
    <t>SEN</t>
  </si>
  <si>
    <t>Ghana</t>
  </si>
  <si>
    <t>GHA</t>
  </si>
  <si>
    <t>Algeria</t>
  </si>
  <si>
    <t>DZA</t>
  </si>
  <si>
    <t>Cameroon</t>
  </si>
  <si>
    <t>CMR</t>
  </si>
  <si>
    <t>Costa Rica</t>
  </si>
  <si>
    <t>Central America</t>
  </si>
  <si>
    <t>CRI</t>
  </si>
  <si>
    <t>Saudi Arabia</t>
  </si>
  <si>
    <t>Middle East</t>
  </si>
  <si>
    <t>SAU</t>
  </si>
  <si>
    <t>Nigeria</t>
  </si>
  <si>
    <t>NGA</t>
  </si>
  <si>
    <t>Japan</t>
  </si>
  <si>
    <t>JPN</t>
  </si>
  <si>
    <t>Australia</t>
  </si>
  <si>
    <t>Oceania</t>
  </si>
  <si>
    <t>AUS</t>
  </si>
  <si>
    <t>Peru</t>
  </si>
  <si>
    <t>PER</t>
  </si>
  <si>
    <t>Ecuador</t>
  </si>
  <si>
    <t>ECU</t>
  </si>
  <si>
    <t>Russia</t>
  </si>
  <si>
    <t>RUS</t>
  </si>
  <si>
    <t>Cuba</t>
  </si>
  <si>
    <t>Caribbean</t>
  </si>
  <si>
    <t>CUB</t>
  </si>
  <si>
    <t>Egypt</t>
  </si>
  <si>
    <t>EGY</t>
  </si>
  <si>
    <t>Dutch East Indies</t>
  </si>
  <si>
    <t>South East Asia</t>
  </si>
  <si>
    <t>IDN</t>
  </si>
  <si>
    <t>Israel</t>
  </si>
  <si>
    <t>ISR</t>
  </si>
  <si>
    <t>Iran</t>
  </si>
  <si>
    <t>IRN</t>
  </si>
  <si>
    <t>Honduras</t>
  </si>
  <si>
    <t>HND</t>
  </si>
  <si>
    <t>Kuwait</t>
  </si>
  <si>
    <t>KWT</t>
  </si>
  <si>
    <t>South Africa</t>
  </si>
  <si>
    <t>ZAF</t>
  </si>
  <si>
    <t>Tunisia</t>
  </si>
  <si>
    <t>TUN</t>
  </si>
  <si>
    <t>Angola</t>
  </si>
  <si>
    <t>AGO</t>
  </si>
  <si>
    <t>New Zealand</t>
  </si>
  <si>
    <t>OFC</t>
  </si>
  <si>
    <t>NZL</t>
  </si>
  <si>
    <t>Haiti</t>
  </si>
  <si>
    <t>HTI</t>
  </si>
  <si>
    <t>El Salvador</t>
  </si>
  <si>
    <t>SLV</t>
  </si>
  <si>
    <t>Iraq</t>
  </si>
  <si>
    <t>IRQ</t>
  </si>
  <si>
    <t>United Arab Emirates</t>
  </si>
  <si>
    <t>ARE</t>
  </si>
  <si>
    <t>Bolivia</t>
  </si>
  <si>
    <t>BOL</t>
  </si>
  <si>
    <t>Jamaica</t>
  </si>
  <si>
    <t>JAM</t>
  </si>
  <si>
    <t>Ivory Coast</t>
  </si>
  <si>
    <t>CIV</t>
  </si>
  <si>
    <t>Togo</t>
  </si>
  <si>
    <t>TGO</t>
  </si>
  <si>
    <t>Panama</t>
  </si>
  <si>
    <t>PAN</t>
  </si>
  <si>
    <t>Qatar</t>
  </si>
  <si>
    <t>QAT</t>
  </si>
  <si>
    <t>Canada</t>
  </si>
  <si>
    <t>CAN</t>
  </si>
  <si>
    <t>Zaire</t>
  </si>
  <si>
    <t>COD</t>
  </si>
  <si>
    <t>China</t>
  </si>
  <si>
    <t>CHN</t>
  </si>
  <si>
    <t>Trinidad and Tobago</t>
  </si>
  <si>
    <t>TTO</t>
  </si>
  <si>
    <t>X</t>
  </si>
  <si>
    <t>Y</t>
  </si>
  <si>
    <t>DDW</t>
  </si>
  <si>
    <t>Multiplier</t>
  </si>
  <si>
    <t>Quarter-Finals</t>
  </si>
  <si>
    <t>Farthest Stage Reached</t>
  </si>
  <si>
    <t>stage_rank</t>
  </si>
  <si>
    <t>WC-1950</t>
  </si>
  <si>
    <t>1950 FIFA Men's World Cup</t>
  </si>
  <si>
    <t>WC-1954</t>
  </si>
  <si>
    <t>1954 FIFA Men's World Cup</t>
  </si>
  <si>
    <t>2nd Winner</t>
  </si>
  <si>
    <t>4th Place</t>
  </si>
  <si>
    <t>3rd Place</t>
  </si>
  <si>
    <t>Semi-Finalss</t>
  </si>
  <si>
    <t>Grouped Farthest Stage</t>
  </si>
  <si>
    <t>Frthest Stage</t>
  </si>
  <si>
    <t>Year_WC</t>
  </si>
  <si>
    <t>farthest_stage_</t>
  </si>
  <si>
    <t>key_id</t>
  </si>
  <si>
    <t>team_id</t>
  </si>
  <si>
    <t>count_matches</t>
  </si>
  <si>
    <t>x_axis</t>
  </si>
  <si>
    <t>y_axis</t>
  </si>
  <si>
    <t>performance</t>
  </si>
  <si>
    <t>conf_code</t>
  </si>
  <si>
    <t>T-02</t>
  </si>
  <si>
    <t>group stage</t>
  </si>
  <si>
    <t>T-82</t>
  </si>
  <si>
    <t>T-08</t>
  </si>
  <si>
    <t>T-07</t>
  </si>
  <si>
    <t>T-12</t>
  </si>
  <si>
    <t>WC-1995</t>
  </si>
  <si>
    <t>1995 FIFA Women's World Cup</t>
  </si>
  <si>
    <t>WC-1999</t>
  </si>
  <si>
    <t>1999 FIFA Women's World Cup</t>
  </si>
  <si>
    <t>WC-2003</t>
  </si>
  <si>
    <t>2003 FIFA Women's World Cup</t>
  </si>
  <si>
    <t>third-place match</t>
  </si>
  <si>
    <t>WC-2007</t>
  </si>
  <si>
    <t>2007 FIFA Women's World Cup</t>
  </si>
  <si>
    <t>WC-2011</t>
  </si>
  <si>
    <t>2011 FIFA Women's World Cup</t>
  </si>
  <si>
    <t>WC-2015</t>
  </si>
  <si>
    <t>2015 FIFA Women's World Cup</t>
  </si>
  <si>
    <t>quarter-final</t>
  </si>
  <si>
    <t>WC-2019</t>
  </si>
  <si>
    <t>2019 FIFA Women's World Cup</t>
  </si>
  <si>
    <t>round of 16</t>
  </si>
  <si>
    <t>WC-1991</t>
  </si>
  <si>
    <t>1991 FIFA Women's World Cup</t>
  </si>
  <si>
    <t>T-14</t>
  </si>
  <si>
    <t>final</t>
  </si>
  <si>
    <t>T-42</t>
  </si>
  <si>
    <t>T-88</t>
  </si>
  <si>
    <t>T-20</t>
  </si>
  <si>
    <t>T-24</t>
  </si>
  <si>
    <t>second group stage</t>
  </si>
  <si>
    <t>T-35</t>
  </si>
  <si>
    <t>T-34</t>
  </si>
  <si>
    <t>T-38</t>
  </si>
  <si>
    <t>T-39</t>
  </si>
  <si>
    <t>T-37</t>
  </si>
  <si>
    <t>T-40</t>
  </si>
  <si>
    <t>T-43</t>
  </si>
  <si>
    <t>T-45</t>
  </si>
  <si>
    <t>T-49</t>
  </si>
  <si>
    <t>T-54</t>
  </si>
  <si>
    <t>T-59</t>
  </si>
  <si>
    <t>T-67</t>
  </si>
  <si>
    <t>T-64</t>
  </si>
  <si>
    <t>T-27</t>
  </si>
  <si>
    <t>T-66</t>
  </si>
  <si>
    <t>T-69</t>
  </si>
  <si>
    <t>T-77</t>
  </si>
  <si>
    <t>T-78</t>
  </si>
  <si>
    <t>T-79</t>
  </si>
  <si>
    <t>T-70</t>
  </si>
  <si>
    <t>T-04</t>
  </si>
  <si>
    <t>T-01</t>
  </si>
  <si>
    <t>T-25</t>
  </si>
  <si>
    <t>T-26</t>
  </si>
  <si>
    <t>T-33</t>
  </si>
  <si>
    <t>T-23</t>
  </si>
  <si>
    <t>T-44</t>
  </si>
  <si>
    <t>T-50</t>
  </si>
  <si>
    <t>T-53</t>
  </si>
  <si>
    <t>T-63</t>
  </si>
  <si>
    <t>T-68</t>
  </si>
  <si>
    <t>T-75</t>
  </si>
  <si>
    <t>quarter-finals</t>
  </si>
  <si>
    <t>T-11</t>
  </si>
  <si>
    <t>T-16</t>
  </si>
  <si>
    <t>T-17</t>
  </si>
  <si>
    <t>T-19</t>
  </si>
  <si>
    <t>T-22</t>
  </si>
  <si>
    <t>T-32</t>
  </si>
  <si>
    <t>T-60</t>
  </si>
  <si>
    <t>T-46</t>
  </si>
  <si>
    <t>T-52</t>
  </si>
  <si>
    <t>T-56</t>
  </si>
  <si>
    <t>T-51</t>
  </si>
  <si>
    <t>T-55</t>
  </si>
  <si>
    <t>T-61</t>
  </si>
  <si>
    <t>T-62</t>
  </si>
  <si>
    <t>T-65</t>
  </si>
  <si>
    <t>T-81</t>
  </si>
  <si>
    <t>T-85</t>
  </si>
  <si>
    <t>T-05</t>
  </si>
  <si>
    <t>T-06</t>
  </si>
  <si>
    <t>T-10</t>
  </si>
  <si>
    <t>T-13</t>
  </si>
  <si>
    <t>T-71</t>
  </si>
  <si>
    <t>T-47</t>
  </si>
  <si>
    <t>T-57</t>
  </si>
  <si>
    <t>T-58</t>
  </si>
  <si>
    <t>T-72</t>
  </si>
  <si>
    <t>T-80</t>
  </si>
  <si>
    <t>T-83</t>
  </si>
  <si>
    <t>semi-finals</t>
  </si>
  <si>
    <t>T-87</t>
  </si>
  <si>
    <t>T-21</t>
  </si>
  <si>
    <t>T-18</t>
  </si>
  <si>
    <t>T-36</t>
  </si>
  <si>
    <t>T-48</t>
  </si>
  <si>
    <t>T-74</t>
  </si>
  <si>
    <t>final round</t>
  </si>
  <si>
    <t>T-03</t>
  </si>
  <si>
    <t>T-09</t>
  </si>
  <si>
    <t>T-31</t>
  </si>
  <si>
    <t>T-86</t>
  </si>
  <si>
    <t>T-28</t>
  </si>
  <si>
    <t>T-73</t>
  </si>
  <si>
    <t>T-30</t>
  </si>
  <si>
    <t>T-41</t>
  </si>
  <si>
    <t>T-84</t>
  </si>
  <si>
    <t>T-29</t>
  </si>
  <si>
    <t>Equatorial Guinea</t>
  </si>
  <si>
    <t>GNQ</t>
  </si>
  <si>
    <t>T-76</t>
  </si>
  <si>
    <t>Thailand</t>
  </si>
  <si>
    <t>THA</t>
  </si>
  <si>
    <t>T-15</t>
  </si>
  <si>
    <t>Chinese Taipei</t>
  </si>
  <si>
    <t>TWN</t>
  </si>
  <si>
    <t>grouped_farthest_stage</t>
  </si>
  <si>
    <t>1</t>
  </si>
  <si>
    <t>2</t>
  </si>
  <si>
    <t>3</t>
  </si>
  <si>
    <t>4</t>
  </si>
  <si>
    <t>5</t>
  </si>
  <si>
    <t>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</si>
</sst>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1" fontId="1" fillId="0" borderId="0" xfId="0" applyNumberFormat="1" applyFont="1"/>
  </cellXfs>
  <cellStyles count="1">
    <cellStyle name="Normal" xfId="0" builtinId="0"/>
  </cellStyles>
  <dxfs count="1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FA723F-906A-4C0C-9E24-1D0F45635B6C}" name="Table1" displayName="Table1" ref="A1:D7" totalsRowShown="0">
  <autoFilter ref="A1:D7" xr:uid="{B8FA723F-906A-4C0C-9E24-1D0F45635B6C}"/>
  <tableColumns count="4">
    <tableColumn id="1" xr3:uid="{EF704CB7-1540-42F8-8386-4EFF2499F3EC}" name="stage"/>
    <tableColumn id="2" xr3:uid="{400E8248-1DAE-49FA-A42B-136B4CF60685}" name="order"/>
    <tableColumn id="3" xr3:uid="{57C46EBB-3916-43CE-AB90-05A739DA8EE0}" name="color"/>
    <tableColumn id="4" xr3:uid="{EF6EC9CD-6B42-4635-A970-C4960DA449C4}" name="descriptio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8CDECF-B688-4727-805A-F9323BC85DD4}" name="deneb_arc" displayName="deneb_arc" ref="A1:C7" totalsRowShown="0">
  <autoFilter ref="A1:C7" xr:uid="{208CDECF-B688-4727-805A-F9323BC85DD4}"/>
  <tableColumns count="3">
    <tableColumn id="1" xr3:uid="{BDA78465-C963-4B22-A84E-A382A3A87580}" name="Country"/>
    <tableColumn id="2" xr3:uid="{E578B711-4243-4B4E-A6A9-1D36A64A1A51}" name="Year"/>
    <tableColumn id="3" xr3:uid="{4AFEB57E-30DA-445A-83FF-50C38E9AC600}" name="Arc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FBD66F-BD6B-4BB0-8704-7F19F1476249}" name="line_chart_sankey" displayName="line_chart_sankey" ref="A1:K171" totalsRowShown="0">
  <autoFilter ref="A1:K171" xr:uid="{FDFBD66F-BD6B-4BB0-8704-7F19F1476249}">
    <filterColumn colId="4">
      <filters>
        <filter val="DDW"/>
      </filters>
    </filterColumn>
  </autoFilter>
  <sortState xmlns:xlrd2="http://schemas.microsoft.com/office/spreadsheetml/2017/richdata2" ref="A4:K133">
    <sortCondition ref="F1:F171"/>
  </sortState>
  <tableColumns count="11">
    <tableColumn id="1" xr3:uid="{B69506CC-F0A4-4140-81C9-6F7983F5AAFA}" name="team_name"/>
    <tableColumn id="2" xr3:uid="{10ACD0FE-6EE1-4090-8BFE-DF20AD3DC8D9}" name="team_region"/>
    <tableColumn id="3" xr3:uid="{EA462D4C-548B-4E0B-A133-56CE82E5D6A6}" name="team_confederation_code"/>
    <tableColumn id="4" xr3:uid="{73722168-16AC-4BB2-8A95-8910BED6658A}" name="tournament_id"/>
    <tableColumn id="5" xr3:uid="{33C443AE-7D13-4DDF-9448-8574DB580347}" name="team_code"/>
    <tableColumn id="6" xr3:uid="{0CB49F67-4BD1-416A-BCC3-9C16030DD04C}" name="farthest_stage"/>
    <tableColumn id="11" xr3:uid="{B2DA0638-D7D6-4167-A4EF-01A87C90ED6D}" name="farthest_stage_"/>
    <tableColumn id="7" xr3:uid="{E6FA5848-DFE7-4FCA-918D-02FFC1BD7CEA}" name="tournament_name"/>
    <tableColumn id="8" xr3:uid="{3903D858-EF71-495D-9418-24E1879F6F12}" name="X"/>
    <tableColumn id="9" xr3:uid="{06E77AC8-689A-4050-A08F-5EAD4942DF40}" name="Multiplier"/>
    <tableColumn id="10" xr3:uid="{F7C112C5-3E9A-447F-9B4D-D535FD0ED4C1}" name="Y" dataDxfId="0">
      <calculatedColumnFormula>RANDBETWEEN(0,6)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58355F9-3618-4E87-94B4-1A606FEE2B7C}" name="Table3" displayName="Table3" ref="A1:O170" totalsRowShown="0" headerRowDxfId="17" dataDxfId="16">
  <autoFilter ref="A1:O170" xr:uid="{E58355F9-3618-4E87-94B4-1A606FEE2B7C}"/>
  <sortState xmlns:xlrd2="http://schemas.microsoft.com/office/spreadsheetml/2017/richdata2" ref="A157:O168">
    <sortCondition ref="N2:N170"/>
    <sortCondition ref="E2:E170"/>
    <sortCondition ref="I2:I170"/>
  </sortState>
  <tableColumns count="15">
    <tableColumn id="1" xr3:uid="{BF4D807A-CA7A-4DC7-AB50-F97393DD939E}" name="team_name" dataDxfId="15"/>
    <tableColumn id="2" xr3:uid="{7F4F1EBA-6643-4BCF-A58A-95123A7F3023}" name="team_region" dataDxfId="14"/>
    <tableColumn id="3" xr3:uid="{B6A4B3B8-61E8-4FD0-B8D3-7CA4886467D1}" name="team_confederation_code" dataDxfId="13"/>
    <tableColumn id="4" xr3:uid="{A5B3FF21-01FE-4316-A843-7062B8B96243}" name="tournament_id" dataDxfId="12"/>
    <tableColumn id="5" xr3:uid="{F18002B8-4212-4513-8459-B07079AFB507}" name="team_code" dataDxfId="11"/>
    <tableColumn id="6" xr3:uid="{1592D8F2-6B50-4A85-8E4F-3176876730C3}" name="tournament_name" dataDxfId="10"/>
    <tableColumn id="7" xr3:uid="{0225DF71-5C31-4DC6-8337-F33877215076}" name="X" dataDxfId="9"/>
    <tableColumn id="8" xr3:uid="{5544A805-73BE-4AC8-BEFD-8EA711F8FE6B}" name="Multiplier" dataDxfId="8"/>
    <tableColumn id="9" xr3:uid="{E302AAE7-1F3F-4B80-A0FF-632EF8321CB6}" name="Y" dataDxfId="7"/>
    <tableColumn id="10" xr3:uid="{86EA23E1-ED65-4375-8184-B5DAA874A3F5}" name="farthest_stage_" dataDxfId="6"/>
    <tableColumn id="11" xr3:uid="{DB3B3828-1975-4C87-A0FF-32F7B511F818}" name="grouped_farthest_stage" dataDxfId="5"/>
    <tableColumn id="12" xr3:uid="{F76D4808-B140-4029-A49A-23E8145CF64B}" name="farthest_stage" dataDxfId="4"/>
    <tableColumn id="13" xr3:uid="{6AEE708D-432B-4ADF-B1FB-6A9D22EE6EBF}" name="Year_WC" dataDxfId="3"/>
    <tableColumn id="14" xr3:uid="{984DF2AC-EB67-4FBB-892A-A67E0B270B4E}" name="stage_rank" dataDxfId="2"/>
    <tableColumn id="15" xr3:uid="{D4966489-9649-49AB-B522-4619F9643CD4}" name="team_id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workbookViewId="0">
      <selection activeCell="D12" sqref="D12"/>
    </sheetView>
  </sheetViews>
  <sheetFormatPr defaultRowHeight="15" x14ac:dyDescent="0.25"/>
  <cols>
    <col min="1" max="1" width="13.5703125" bestFit="1" customWidth="1"/>
    <col min="2" max="2" width="8" customWidth="1"/>
    <col min="3" max="3" width="8.42578125" bestFit="1" customWidth="1"/>
    <col min="4" max="4" width="13.1406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t="s">
        <v>5</v>
      </c>
      <c r="D2" t="s">
        <v>6</v>
      </c>
    </row>
    <row r="3" spans="1:4" x14ac:dyDescent="0.25">
      <c r="A3" t="s">
        <v>7</v>
      </c>
      <c r="B3">
        <v>2</v>
      </c>
      <c r="C3" t="s">
        <v>8</v>
      </c>
      <c r="D3" t="s">
        <v>9</v>
      </c>
    </row>
    <row r="4" spans="1:4" x14ac:dyDescent="0.25">
      <c r="A4" t="s">
        <v>10</v>
      </c>
      <c r="B4">
        <v>3</v>
      </c>
      <c r="C4" t="s">
        <v>11</v>
      </c>
      <c r="D4" t="s">
        <v>12</v>
      </c>
    </row>
    <row r="5" spans="1:4" x14ac:dyDescent="0.25">
      <c r="A5" t="s">
        <v>13</v>
      </c>
      <c r="B5">
        <v>4</v>
      </c>
      <c r="C5" t="s">
        <v>14</v>
      </c>
      <c r="D5" t="s">
        <v>15</v>
      </c>
    </row>
    <row r="6" spans="1:4" x14ac:dyDescent="0.25">
      <c r="A6" t="s">
        <v>16</v>
      </c>
      <c r="B6">
        <v>5</v>
      </c>
      <c r="C6" t="s">
        <v>17</v>
      </c>
      <c r="D6" t="s">
        <v>18</v>
      </c>
    </row>
    <row r="7" spans="1:4" x14ac:dyDescent="0.25">
      <c r="A7" t="s">
        <v>19</v>
      </c>
      <c r="B7">
        <v>6</v>
      </c>
      <c r="C7" t="s">
        <v>20</v>
      </c>
      <c r="D7" t="s">
        <v>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C6D80-A8B1-462C-A3F9-0E77E2B95557}">
  <dimension ref="A1:C7"/>
  <sheetViews>
    <sheetView workbookViewId="0">
      <selection activeCell="F6" sqref="F6"/>
    </sheetView>
  </sheetViews>
  <sheetFormatPr defaultRowHeight="15" x14ac:dyDescent="0.25"/>
  <cols>
    <col min="1" max="1" width="10.140625" customWidth="1"/>
  </cols>
  <sheetData>
    <row r="1" spans="1:3" x14ac:dyDescent="0.25">
      <c r="A1" t="s">
        <v>22</v>
      </c>
      <c r="B1" t="s">
        <v>23</v>
      </c>
      <c r="C1" t="s">
        <v>24</v>
      </c>
    </row>
    <row r="2" spans="1:3" x14ac:dyDescent="0.25">
      <c r="A2" t="s">
        <v>25</v>
      </c>
      <c r="B2">
        <v>1958</v>
      </c>
      <c r="C2">
        <v>0</v>
      </c>
    </row>
    <row r="3" spans="1:3" x14ac:dyDescent="0.25">
      <c r="A3" t="s">
        <v>25</v>
      </c>
      <c r="B3">
        <v>1962</v>
      </c>
      <c r="C3">
        <v>4</v>
      </c>
    </row>
    <row r="4" spans="1:3" x14ac:dyDescent="0.25">
      <c r="A4" t="s">
        <v>25</v>
      </c>
      <c r="B4">
        <v>1966</v>
      </c>
      <c r="C4">
        <v>0</v>
      </c>
    </row>
    <row r="5" spans="1:3" x14ac:dyDescent="0.25">
      <c r="A5" t="s">
        <v>26</v>
      </c>
      <c r="B5">
        <v>1954</v>
      </c>
      <c r="C5">
        <v>0</v>
      </c>
    </row>
    <row r="6" spans="1:3" x14ac:dyDescent="0.25">
      <c r="A6" t="s">
        <v>26</v>
      </c>
      <c r="B6">
        <v>1960</v>
      </c>
      <c r="C6">
        <v>6</v>
      </c>
    </row>
    <row r="7" spans="1:3" x14ac:dyDescent="0.25">
      <c r="A7" t="s">
        <v>26</v>
      </c>
      <c r="B7">
        <v>1966</v>
      </c>
      <c r="C7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6B524-BFFD-41FF-A76A-836A0BD5CD2D}">
  <dimension ref="A1:O171"/>
  <sheetViews>
    <sheetView topLeftCell="E1" workbookViewId="0">
      <selection activeCell="N177" sqref="N177"/>
    </sheetView>
  </sheetViews>
  <sheetFormatPr defaultRowHeight="15" x14ac:dyDescent="0.25"/>
  <cols>
    <col min="1" max="1" width="22.42578125" bestFit="1" customWidth="1"/>
    <col min="2" max="2" width="15.28515625" bestFit="1" customWidth="1"/>
    <col min="3" max="3" width="27.140625" bestFit="1" customWidth="1"/>
    <col min="4" max="4" width="16.7109375" customWidth="1"/>
    <col min="5" max="5" width="13.140625" customWidth="1"/>
    <col min="6" max="7" width="16.140625" customWidth="1"/>
    <col min="8" max="8" width="25.140625" customWidth="1"/>
    <col min="9" max="9" width="6" bestFit="1" customWidth="1"/>
    <col min="10" max="10" width="12.28515625" customWidth="1"/>
    <col min="11" max="11" width="6" bestFit="1" customWidth="1"/>
    <col min="13" max="13" width="24.42578125" bestFit="1" customWidth="1"/>
    <col min="14" max="14" width="12.5703125" bestFit="1" customWidth="1"/>
    <col min="15" max="15" width="8.85546875" bestFit="1" customWidth="1"/>
  </cols>
  <sheetData>
    <row r="1" spans="1:15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277</v>
      </c>
      <c r="H1" t="s">
        <v>33</v>
      </c>
      <c r="I1" t="s">
        <v>259</v>
      </c>
      <c r="J1" t="s">
        <v>262</v>
      </c>
      <c r="K1" t="s">
        <v>260</v>
      </c>
      <c r="M1" t="s">
        <v>274</v>
      </c>
      <c r="N1" t="s">
        <v>275</v>
      </c>
      <c r="O1" t="s">
        <v>276</v>
      </c>
    </row>
    <row r="2" spans="1:15" hidden="1" x14ac:dyDescent="0.25">
      <c r="A2" t="s">
        <v>226</v>
      </c>
      <c r="B2" t="s">
        <v>162</v>
      </c>
      <c r="C2" t="s">
        <v>163</v>
      </c>
      <c r="D2" t="s">
        <v>125</v>
      </c>
      <c r="E2" t="s">
        <v>227</v>
      </c>
      <c r="F2" t="s">
        <v>4</v>
      </c>
      <c r="G2" t="s">
        <v>4</v>
      </c>
      <c r="H2" t="s">
        <v>126</v>
      </c>
      <c r="I2">
        <v>0.13</v>
      </c>
      <c r="J2">
        <v>1</v>
      </c>
      <c r="K2">
        <v>1</v>
      </c>
      <c r="M2" t="str">
        <f>VLOOKUP(line_chart_sankey[[#This Row],[team_code]], Sheet2!$F$1:$I$86, 4, FALSE)</f>
        <v>Group Stage</v>
      </c>
      <c r="N2" t="str">
        <f>VLOOKUP(line_chart_sankey[[#This Row],[team_code]], Sheet2!$F$1:$I$86, 2, FALSE)</f>
        <v>Group Stage</v>
      </c>
      <c r="O2" t="str">
        <f>VLOOKUP(line_chart_sankey[[#This Row],[team_code]], Sheet2!$F$1:$I$86, 3, FALSE)</f>
        <v>WC-2006</v>
      </c>
    </row>
    <row r="3" spans="1:15" hidden="1" x14ac:dyDescent="0.25">
      <c r="A3" t="s">
        <v>226</v>
      </c>
      <c r="B3" t="s">
        <v>162</v>
      </c>
      <c r="C3" t="s">
        <v>163</v>
      </c>
      <c r="D3" t="s">
        <v>125</v>
      </c>
      <c r="E3" t="s">
        <v>227</v>
      </c>
      <c r="F3" t="s">
        <v>4</v>
      </c>
      <c r="G3" t="s">
        <v>4</v>
      </c>
      <c r="H3" t="s">
        <v>126</v>
      </c>
      <c r="I3">
        <v>5.3499999999999999E-2</v>
      </c>
      <c r="J3">
        <v>1</v>
      </c>
      <c r="K3">
        <v>0</v>
      </c>
      <c r="M3" t="str">
        <f>VLOOKUP(line_chart_sankey[[#This Row],[team_code]], Sheet2!$F$1:$I$86, 4, FALSE)</f>
        <v>Group Stage</v>
      </c>
      <c r="N3" t="str">
        <f>VLOOKUP(line_chart_sankey[[#This Row],[team_code]], Sheet2!$F$1:$I$86, 2, FALSE)</f>
        <v>Group Stage</v>
      </c>
      <c r="O3" t="str">
        <f>VLOOKUP(line_chart_sankey[[#This Row],[team_code]], Sheet2!$F$1:$I$86, 3, FALSE)</f>
        <v>WC-2006</v>
      </c>
    </row>
    <row r="4" spans="1:15" hidden="1" x14ac:dyDescent="0.25">
      <c r="A4" t="s">
        <v>237</v>
      </c>
      <c r="B4" t="s">
        <v>191</v>
      </c>
      <c r="C4" t="s">
        <v>153</v>
      </c>
      <c r="D4" t="s">
        <v>107</v>
      </c>
      <c r="E4" t="s">
        <v>238</v>
      </c>
      <c r="F4" t="s">
        <v>4</v>
      </c>
      <c r="G4" t="s">
        <v>4</v>
      </c>
      <c r="H4" t="s">
        <v>108</v>
      </c>
      <c r="I4">
        <v>0.315</v>
      </c>
      <c r="J4">
        <v>1</v>
      </c>
      <c r="K4">
        <v>1</v>
      </c>
      <c r="M4" t="str">
        <f>VLOOKUP(line_chart_sankey[[#This Row],[team_code]], Sheet2!$F$1:$I$86, 4, FALSE)</f>
        <v>Group Stage</v>
      </c>
      <c r="N4" t="str">
        <f>VLOOKUP(line_chart_sankey[[#This Row],[team_code]], Sheet2!$F$1:$I$86, 2, FALSE)</f>
        <v>Group Stage</v>
      </c>
      <c r="O4" t="str">
        <f>VLOOKUP(line_chart_sankey[[#This Row],[team_code]], Sheet2!$F$1:$I$86, 3, FALSE)</f>
        <v>WC-1990</v>
      </c>
    </row>
    <row r="5" spans="1:15" hidden="1" x14ac:dyDescent="0.25">
      <c r="A5" s="2" t="s">
        <v>237</v>
      </c>
      <c r="B5" s="2" t="s">
        <v>191</v>
      </c>
      <c r="C5" s="2" t="s">
        <v>153</v>
      </c>
      <c r="D5" s="2" t="s">
        <v>107</v>
      </c>
      <c r="E5" s="2" t="s">
        <v>238</v>
      </c>
      <c r="F5" s="2" t="s">
        <v>4</v>
      </c>
      <c r="G5" s="2" t="s">
        <v>4</v>
      </c>
      <c r="H5" s="2" t="s">
        <v>108</v>
      </c>
      <c r="I5" s="1">
        <v>0.23849999999999999</v>
      </c>
      <c r="J5" s="1">
        <v>1</v>
      </c>
      <c r="K5">
        <v>0</v>
      </c>
      <c r="M5" t="str">
        <f>VLOOKUP(line_chart_sankey[[#This Row],[team_code]], Sheet2!$F$1:$I$86, 4, FALSE)</f>
        <v>Group Stage</v>
      </c>
      <c r="N5" t="str">
        <f>VLOOKUP(line_chart_sankey[[#This Row],[team_code]], Sheet2!$F$1:$I$86, 2, FALSE)</f>
        <v>Group Stage</v>
      </c>
      <c r="O5" t="str">
        <f>VLOOKUP(line_chart_sankey[[#This Row],[team_code]], Sheet2!$F$1:$I$86, 3, FALSE)</f>
        <v>WC-1990</v>
      </c>
    </row>
    <row r="6" spans="1:15" hidden="1" x14ac:dyDescent="0.25">
      <c r="A6" t="s">
        <v>165</v>
      </c>
      <c r="B6" t="s">
        <v>145</v>
      </c>
      <c r="C6" t="s">
        <v>146</v>
      </c>
      <c r="D6" t="s">
        <v>72</v>
      </c>
      <c r="E6" t="s">
        <v>166</v>
      </c>
      <c r="F6" t="s">
        <v>19</v>
      </c>
      <c r="G6" t="s">
        <v>19</v>
      </c>
      <c r="H6" t="s">
        <v>73</v>
      </c>
      <c r="I6">
        <v>2.2400000000000002</v>
      </c>
      <c r="J6">
        <v>1</v>
      </c>
      <c r="K6">
        <v>1</v>
      </c>
      <c r="M6" t="str">
        <f>VLOOKUP(line_chart_sankey[[#This Row],[team_code]], Sheet2!$F$1:$I$86, 4, FALSE)</f>
        <v>Winner</v>
      </c>
      <c r="N6" t="str">
        <f>VLOOKUP(line_chart_sankey[[#This Row],[team_code]], Sheet2!$F$1:$I$86, 2, FALSE)</f>
        <v>Winner</v>
      </c>
      <c r="O6" t="str">
        <f>VLOOKUP(line_chart_sankey[[#This Row],[team_code]], Sheet2!$F$1:$I$86, 3, FALSE)</f>
        <v>WC-1986</v>
      </c>
    </row>
    <row r="7" spans="1:15" hidden="1" x14ac:dyDescent="0.25">
      <c r="A7" t="s">
        <v>165</v>
      </c>
      <c r="B7" t="s">
        <v>145</v>
      </c>
      <c r="C7" t="s">
        <v>146</v>
      </c>
      <c r="D7" t="s">
        <v>72</v>
      </c>
      <c r="E7" t="s">
        <v>166</v>
      </c>
      <c r="F7" t="s">
        <v>19</v>
      </c>
      <c r="G7" t="s">
        <v>19</v>
      </c>
      <c r="H7" t="s">
        <v>73</v>
      </c>
      <c r="I7">
        <v>2.633</v>
      </c>
      <c r="J7">
        <v>6</v>
      </c>
      <c r="K7">
        <v>0</v>
      </c>
      <c r="M7" t="str">
        <f>VLOOKUP(line_chart_sankey[[#This Row],[team_code]], Sheet2!$F$1:$I$86, 4, FALSE)</f>
        <v>Winner</v>
      </c>
      <c r="N7" t="str">
        <f>VLOOKUP(line_chart_sankey[[#This Row],[team_code]], Sheet2!$F$1:$I$86, 2, FALSE)</f>
        <v>Winner</v>
      </c>
      <c r="O7" t="str">
        <f>VLOOKUP(line_chart_sankey[[#This Row],[team_code]], Sheet2!$F$1:$I$86, 3, FALSE)</f>
        <v>WC-1986</v>
      </c>
    </row>
    <row r="8" spans="1:15" hidden="1" x14ac:dyDescent="0.25">
      <c r="A8" t="s">
        <v>255</v>
      </c>
      <c r="B8" t="s">
        <v>152</v>
      </c>
      <c r="C8" t="s">
        <v>153</v>
      </c>
      <c r="D8" t="s">
        <v>109</v>
      </c>
      <c r="E8" t="s">
        <v>256</v>
      </c>
      <c r="F8" t="s">
        <v>4</v>
      </c>
      <c r="G8" t="s">
        <v>4</v>
      </c>
      <c r="H8" t="s">
        <v>110</v>
      </c>
      <c r="I8">
        <v>0.55000000000000004</v>
      </c>
      <c r="J8">
        <v>3</v>
      </c>
      <c r="K8">
        <v>1</v>
      </c>
      <c r="M8" t="str">
        <f>VLOOKUP(line_chart_sankey[[#This Row],[team_code]], Sheet2!$F$1:$I$86, 4, FALSE)</f>
        <v>Group Stage</v>
      </c>
      <c r="N8" t="str">
        <f>VLOOKUP(line_chart_sankey[[#This Row],[team_code]], Sheet2!$F$1:$I$86, 2, FALSE)</f>
        <v>Group Stage</v>
      </c>
      <c r="O8" t="str">
        <f>VLOOKUP(line_chart_sankey[[#This Row],[team_code]], Sheet2!$F$1:$I$86, 3, FALSE)</f>
        <v>WC-2002</v>
      </c>
    </row>
    <row r="9" spans="1:15" hidden="1" x14ac:dyDescent="0.25">
      <c r="A9" t="s">
        <v>255</v>
      </c>
      <c r="B9" t="s">
        <v>152</v>
      </c>
      <c r="C9" t="s">
        <v>153</v>
      </c>
      <c r="D9" t="s">
        <v>109</v>
      </c>
      <c r="E9" t="s">
        <v>256</v>
      </c>
      <c r="F9" t="s">
        <v>4</v>
      </c>
      <c r="G9" t="s">
        <v>4</v>
      </c>
      <c r="H9" t="s">
        <v>110</v>
      </c>
      <c r="I9" s="1">
        <v>0.31709999999999999</v>
      </c>
      <c r="J9">
        <v>3</v>
      </c>
      <c r="K9">
        <v>0</v>
      </c>
      <c r="M9" t="str">
        <f>VLOOKUP(line_chart_sankey[[#This Row],[team_code]], Sheet2!$F$1:$I$86, 4, FALSE)</f>
        <v>Group Stage</v>
      </c>
      <c r="N9" t="str">
        <f>VLOOKUP(line_chart_sankey[[#This Row],[team_code]], Sheet2!$F$1:$I$86, 2, FALSE)</f>
        <v>Group Stage</v>
      </c>
      <c r="O9" t="str">
        <f>VLOOKUP(line_chart_sankey[[#This Row],[team_code]], Sheet2!$F$1:$I$86, 3, FALSE)</f>
        <v>WC-2002</v>
      </c>
    </row>
    <row r="10" spans="1:15" hidden="1" x14ac:dyDescent="0.25">
      <c r="A10" t="s">
        <v>66</v>
      </c>
      <c r="B10" t="s">
        <v>35</v>
      </c>
      <c r="C10" t="s">
        <v>36</v>
      </c>
      <c r="D10" t="s">
        <v>89</v>
      </c>
      <c r="E10" t="s">
        <v>67</v>
      </c>
      <c r="F10" t="s">
        <v>16</v>
      </c>
      <c r="G10" t="s">
        <v>270</v>
      </c>
      <c r="H10" t="s">
        <v>65</v>
      </c>
      <c r="I10">
        <v>22.6</v>
      </c>
      <c r="J10">
        <v>6</v>
      </c>
      <c r="K10">
        <v>1</v>
      </c>
      <c r="M10" t="str">
        <f>VLOOKUP(line_chart_sankey[[#This Row],[team_code]], Sheet2!$F$1:$I$86, 4, FALSE)</f>
        <v>Finals</v>
      </c>
      <c r="N10" t="str">
        <f>VLOOKUP(line_chart_sankey[[#This Row],[team_code]], Sheet2!$F$1:$I$86, 2, FALSE)</f>
        <v>2nd Winner</v>
      </c>
      <c r="O10" t="str">
        <f>VLOOKUP(line_chart_sankey[[#This Row],[team_code]], Sheet2!$F$1:$I$86, 3, FALSE)</f>
        <v>WC-1962</v>
      </c>
    </row>
    <row r="11" spans="1:15" hidden="1" x14ac:dyDescent="0.25">
      <c r="A11" t="s">
        <v>66</v>
      </c>
      <c r="B11" t="s">
        <v>35</v>
      </c>
      <c r="C11" t="s">
        <v>36</v>
      </c>
      <c r="D11" t="s">
        <v>89</v>
      </c>
      <c r="E11" t="s">
        <v>67</v>
      </c>
      <c r="F11" t="s">
        <v>16</v>
      </c>
      <c r="G11" t="s">
        <v>270</v>
      </c>
      <c r="H11" t="s">
        <v>65</v>
      </c>
      <c r="I11">
        <v>20.66</v>
      </c>
      <c r="J11">
        <v>4</v>
      </c>
      <c r="K11">
        <v>0</v>
      </c>
      <c r="M11" t="str">
        <f>VLOOKUP(line_chart_sankey[[#This Row],[team_code]], Sheet2!$F$1:$I$86, 4, FALSE)</f>
        <v>Finals</v>
      </c>
      <c r="N11" t="str">
        <f>VLOOKUP(line_chart_sankey[[#This Row],[team_code]], Sheet2!$F$1:$I$86, 2, FALSE)</f>
        <v>2nd Winner</v>
      </c>
      <c r="O11" t="str">
        <f>VLOOKUP(line_chart_sankey[[#This Row],[team_code]], Sheet2!$F$1:$I$86, 3, FALSE)</f>
        <v>WC-1962</v>
      </c>
    </row>
    <row r="12" spans="1:15" hidden="1" x14ac:dyDescent="0.25">
      <c r="A12" t="s">
        <v>113</v>
      </c>
      <c r="B12" t="s">
        <v>35</v>
      </c>
      <c r="C12" t="s">
        <v>36</v>
      </c>
      <c r="D12" t="s">
        <v>81</v>
      </c>
      <c r="E12" t="s">
        <v>115</v>
      </c>
      <c r="F12" t="s">
        <v>16</v>
      </c>
      <c r="G12" t="s">
        <v>270</v>
      </c>
      <c r="H12" t="s">
        <v>116</v>
      </c>
      <c r="I12">
        <v>23.4</v>
      </c>
      <c r="J12">
        <v>16</v>
      </c>
      <c r="K12">
        <v>1</v>
      </c>
      <c r="M12" t="str">
        <f>VLOOKUP(line_chart_sankey[[#This Row],[team_code]], Sheet2!$F$1:$I$86, 4, FALSE)</f>
        <v>Finals</v>
      </c>
      <c r="N12" t="str">
        <f>VLOOKUP(line_chart_sankey[[#This Row],[team_code]], Sheet2!$F$1:$I$86, 2, FALSE)</f>
        <v>2nd Winner</v>
      </c>
      <c r="O12" t="str">
        <f>VLOOKUP(line_chart_sankey[[#This Row],[team_code]], Sheet2!$F$1:$I$86, 3, FALSE)</f>
        <v>WC-2018</v>
      </c>
    </row>
    <row r="13" spans="1:15" hidden="1" x14ac:dyDescent="0.25">
      <c r="A13" t="s">
        <v>113</v>
      </c>
      <c r="B13" t="s">
        <v>35</v>
      </c>
      <c r="C13" t="s">
        <v>36</v>
      </c>
      <c r="D13" t="s">
        <v>81</v>
      </c>
      <c r="E13" t="s">
        <v>115</v>
      </c>
      <c r="F13" t="s">
        <v>16</v>
      </c>
      <c r="G13" t="s">
        <v>270</v>
      </c>
      <c r="H13" t="s">
        <v>116</v>
      </c>
      <c r="I13">
        <v>21.582999999999998</v>
      </c>
      <c r="J13">
        <v>1</v>
      </c>
      <c r="K13">
        <v>0</v>
      </c>
      <c r="M13" t="str">
        <f>VLOOKUP(line_chart_sankey[[#This Row],[team_code]], Sheet2!$F$1:$I$86, 4, FALSE)</f>
        <v>Finals</v>
      </c>
      <c r="N13" t="str">
        <f>VLOOKUP(line_chart_sankey[[#This Row],[team_code]], Sheet2!$F$1:$I$86, 2, FALSE)</f>
        <v>2nd Winner</v>
      </c>
      <c r="O13" t="str">
        <f>VLOOKUP(line_chart_sankey[[#This Row],[team_code]], Sheet2!$F$1:$I$86, 3, FALSE)</f>
        <v>WC-2018</v>
      </c>
    </row>
    <row r="14" spans="1:15" hidden="1" x14ac:dyDescent="0.25">
      <c r="A14" t="s">
        <v>40</v>
      </c>
      <c r="B14" t="s">
        <v>35</v>
      </c>
      <c r="C14" t="s">
        <v>36</v>
      </c>
      <c r="D14" t="s">
        <v>268</v>
      </c>
      <c r="E14" t="s">
        <v>41</v>
      </c>
      <c r="F14" t="s">
        <v>16</v>
      </c>
      <c r="G14" t="s">
        <v>270</v>
      </c>
      <c r="H14" t="s">
        <v>39</v>
      </c>
      <c r="I14">
        <v>24.2</v>
      </c>
      <c r="J14">
        <v>17</v>
      </c>
      <c r="K14">
        <v>1</v>
      </c>
      <c r="M14" t="str">
        <f>VLOOKUP(line_chart_sankey[[#This Row],[team_code]], Sheet2!$F$1:$I$86, 4, FALSE)</f>
        <v>Finals</v>
      </c>
      <c r="N14" t="str">
        <f>VLOOKUP(line_chart_sankey[[#This Row],[team_code]], Sheet2!$F$1:$I$86, 2, FALSE)</f>
        <v>2nd Winner</v>
      </c>
      <c r="O14" t="str">
        <f>VLOOKUP(line_chart_sankey[[#This Row],[team_code]], Sheet2!$F$1:$I$86, 3, FALSE)</f>
        <v>WC-1954</v>
      </c>
    </row>
    <row r="15" spans="1:15" hidden="1" x14ac:dyDescent="0.25">
      <c r="A15" t="s">
        <v>40</v>
      </c>
      <c r="B15" t="s">
        <v>35</v>
      </c>
      <c r="C15" t="s">
        <v>36</v>
      </c>
      <c r="D15" t="s">
        <v>268</v>
      </c>
      <c r="E15" t="s">
        <v>41</v>
      </c>
      <c r="F15" t="s">
        <v>16</v>
      </c>
      <c r="G15" t="s">
        <v>270</v>
      </c>
      <c r="H15" t="s">
        <v>39</v>
      </c>
      <c r="I15">
        <v>22.5</v>
      </c>
      <c r="J15">
        <v>0</v>
      </c>
      <c r="K15">
        <v>0</v>
      </c>
      <c r="M15" t="str">
        <f>VLOOKUP(line_chart_sankey[[#This Row],[team_code]], Sheet2!$F$1:$I$86, 4, FALSE)</f>
        <v>Finals</v>
      </c>
      <c r="N15" t="str">
        <f>VLOOKUP(line_chart_sankey[[#This Row],[team_code]], Sheet2!$F$1:$I$86, 2, FALSE)</f>
        <v>2nd Winner</v>
      </c>
      <c r="O15" t="str">
        <f>VLOOKUP(line_chart_sankey[[#This Row],[team_code]], Sheet2!$F$1:$I$86, 3, FALSE)</f>
        <v>WC-1954</v>
      </c>
    </row>
    <row r="16" spans="1:15" hidden="1" x14ac:dyDescent="0.25">
      <c r="A16" t="s">
        <v>134</v>
      </c>
      <c r="B16" t="s">
        <v>35</v>
      </c>
      <c r="C16" t="s">
        <v>36</v>
      </c>
      <c r="D16" t="s">
        <v>78</v>
      </c>
      <c r="E16" t="s">
        <v>135</v>
      </c>
      <c r="F16" t="s">
        <v>16</v>
      </c>
      <c r="G16" t="s">
        <v>270</v>
      </c>
      <c r="H16" t="s">
        <v>108</v>
      </c>
      <c r="I16">
        <v>25</v>
      </c>
      <c r="J16">
        <v>23</v>
      </c>
      <c r="K16">
        <v>1</v>
      </c>
      <c r="M16" t="str">
        <f>VLOOKUP(line_chart_sankey[[#This Row],[team_code]], Sheet2!$F$1:$I$86, 4, FALSE)</f>
        <v>Finals</v>
      </c>
      <c r="N16" t="str">
        <f>VLOOKUP(line_chart_sankey[[#This Row],[team_code]], Sheet2!$F$1:$I$86, 2, FALSE)</f>
        <v>2nd Winner</v>
      </c>
      <c r="O16" t="str">
        <f>VLOOKUP(line_chart_sankey[[#This Row],[team_code]], Sheet2!$F$1:$I$86, 3, FALSE)</f>
        <v>WC-2010</v>
      </c>
    </row>
    <row r="17" spans="1:15" hidden="1" x14ac:dyDescent="0.25">
      <c r="A17" t="s">
        <v>134</v>
      </c>
      <c r="B17" t="s">
        <v>35</v>
      </c>
      <c r="C17" t="s">
        <v>36</v>
      </c>
      <c r="D17" t="s">
        <v>78</v>
      </c>
      <c r="E17" t="s">
        <v>135</v>
      </c>
      <c r="F17" t="s">
        <v>16</v>
      </c>
      <c r="G17" t="s">
        <v>270</v>
      </c>
      <c r="H17" t="s">
        <v>108</v>
      </c>
      <c r="I17">
        <v>23.416</v>
      </c>
      <c r="J17">
        <v>1</v>
      </c>
      <c r="K17">
        <v>0</v>
      </c>
      <c r="M17" t="str">
        <f>VLOOKUP(line_chart_sankey[[#This Row],[team_code]], Sheet2!$F$1:$I$86, 4, FALSE)</f>
        <v>Finals</v>
      </c>
      <c r="N17" t="str">
        <f>VLOOKUP(line_chart_sankey[[#This Row],[team_code]], Sheet2!$F$1:$I$86, 2, FALSE)</f>
        <v>2nd Winner</v>
      </c>
      <c r="O17" t="str">
        <f>VLOOKUP(line_chart_sankey[[#This Row],[team_code]], Sheet2!$F$1:$I$86, 3, FALSE)</f>
        <v>WC-2010</v>
      </c>
    </row>
    <row r="18" spans="1:15" hidden="1" x14ac:dyDescent="0.25">
      <c r="A18" t="s">
        <v>239</v>
      </c>
      <c r="B18" t="s">
        <v>145</v>
      </c>
      <c r="C18" t="s">
        <v>146</v>
      </c>
      <c r="D18" t="s">
        <v>98</v>
      </c>
      <c r="E18" t="s">
        <v>240</v>
      </c>
      <c r="F18" t="s">
        <v>4</v>
      </c>
      <c r="G18" t="s">
        <v>4</v>
      </c>
      <c r="H18" t="s">
        <v>100</v>
      </c>
      <c r="I18">
        <v>0.36</v>
      </c>
      <c r="J18">
        <v>2</v>
      </c>
      <c r="K18">
        <v>1</v>
      </c>
      <c r="M18" t="str">
        <f>VLOOKUP(line_chart_sankey[[#This Row],[team_code]], Sheet2!$F$1:$I$86, 4, FALSE)</f>
        <v>Group Stage</v>
      </c>
      <c r="N18" t="str">
        <f>VLOOKUP(line_chart_sankey[[#This Row],[team_code]], Sheet2!$F$1:$I$86, 2, FALSE)</f>
        <v>Group Stage</v>
      </c>
      <c r="O18" t="str">
        <f>VLOOKUP(line_chart_sankey[[#This Row],[team_code]], Sheet2!$F$1:$I$86, 3, FALSE)</f>
        <v>WC-1994</v>
      </c>
    </row>
    <row r="19" spans="1:15" hidden="1" x14ac:dyDescent="0.25">
      <c r="A19" t="s">
        <v>239</v>
      </c>
      <c r="B19" t="s">
        <v>145</v>
      </c>
      <c r="C19" t="s">
        <v>146</v>
      </c>
      <c r="D19" t="s">
        <v>98</v>
      </c>
      <c r="E19" t="s">
        <v>240</v>
      </c>
      <c r="F19" t="s">
        <v>4</v>
      </c>
      <c r="G19" t="s">
        <v>4</v>
      </c>
      <c r="H19" t="s">
        <v>100</v>
      </c>
      <c r="I19">
        <v>0.45</v>
      </c>
      <c r="J19">
        <v>4</v>
      </c>
      <c r="K19">
        <v>0</v>
      </c>
      <c r="M19" t="str">
        <f>VLOOKUP(line_chart_sankey[[#This Row],[team_code]], Sheet2!$F$1:$I$86, 4, FALSE)</f>
        <v>Group Stage</v>
      </c>
      <c r="N19" t="str">
        <f>VLOOKUP(line_chart_sankey[[#This Row],[team_code]], Sheet2!$F$1:$I$86, 2, FALSE)</f>
        <v>Group Stage</v>
      </c>
      <c r="O19" t="str">
        <f>VLOOKUP(line_chart_sankey[[#This Row],[team_code]], Sheet2!$F$1:$I$86, 3, FALSE)</f>
        <v>WC-1994</v>
      </c>
    </row>
    <row r="20" spans="1:15" hidden="1" x14ac:dyDescent="0.25">
      <c r="A20" t="s">
        <v>25</v>
      </c>
      <c r="B20" t="s">
        <v>145</v>
      </c>
      <c r="C20" t="s">
        <v>146</v>
      </c>
      <c r="D20" t="s">
        <v>98</v>
      </c>
      <c r="E20" t="s">
        <v>147</v>
      </c>
      <c r="F20" t="s">
        <v>19</v>
      </c>
      <c r="G20" t="s">
        <v>19</v>
      </c>
      <c r="H20" t="s">
        <v>61</v>
      </c>
      <c r="I20">
        <v>2.5299999999999998</v>
      </c>
      <c r="J20">
        <v>3</v>
      </c>
      <c r="K20">
        <v>1</v>
      </c>
      <c r="M20" t="str">
        <f>VLOOKUP(line_chart_sankey[[#This Row],[team_code]], Sheet2!$F$1:$I$86, 4, FALSE)</f>
        <v>Winner</v>
      </c>
      <c r="N20" t="str">
        <f>VLOOKUP(line_chart_sankey[[#This Row],[team_code]], Sheet2!$F$1:$I$86, 2, FALSE)</f>
        <v>Winner</v>
      </c>
      <c r="O20" t="str">
        <f>VLOOKUP(line_chart_sankey[[#This Row],[team_code]], Sheet2!$F$1:$I$86, 3, FALSE)</f>
        <v>WC-1994</v>
      </c>
    </row>
    <row r="21" spans="1:15" hidden="1" x14ac:dyDescent="0.25">
      <c r="A21" t="s">
        <v>25</v>
      </c>
      <c r="B21" t="s">
        <v>145</v>
      </c>
      <c r="C21" t="s">
        <v>146</v>
      </c>
      <c r="D21" t="s">
        <v>98</v>
      </c>
      <c r="E21" t="s">
        <v>147</v>
      </c>
      <c r="F21" t="s">
        <v>19</v>
      </c>
      <c r="G21" t="s">
        <v>19</v>
      </c>
      <c r="H21" t="s">
        <v>61</v>
      </c>
      <c r="I21">
        <v>2.7687499999999998</v>
      </c>
      <c r="J21">
        <v>5</v>
      </c>
      <c r="K21">
        <v>0</v>
      </c>
      <c r="M21" t="str">
        <f>VLOOKUP(line_chart_sankey[[#This Row],[team_code]], Sheet2!$F$1:$I$86, 4, FALSE)</f>
        <v>Winner</v>
      </c>
      <c r="N21" t="str">
        <f>VLOOKUP(line_chart_sankey[[#This Row],[team_code]], Sheet2!$F$1:$I$86, 2, FALSE)</f>
        <v>Winner</v>
      </c>
      <c r="O21" t="str">
        <f>VLOOKUP(line_chart_sankey[[#This Row],[team_code]], Sheet2!$F$1:$I$86, 3, FALSE)</f>
        <v>WC-1994</v>
      </c>
    </row>
    <row r="22" spans="1:15" hidden="1" x14ac:dyDescent="0.25">
      <c r="A22" t="s">
        <v>251</v>
      </c>
      <c r="B22" t="s">
        <v>170</v>
      </c>
      <c r="C22" t="s">
        <v>171</v>
      </c>
      <c r="D22" t="s">
        <v>85</v>
      </c>
      <c r="E22" t="s">
        <v>252</v>
      </c>
      <c r="F22" t="s">
        <v>4</v>
      </c>
      <c r="G22" t="s">
        <v>4</v>
      </c>
      <c r="H22" t="s">
        <v>87</v>
      </c>
      <c r="I22">
        <v>0.32500000000000001</v>
      </c>
      <c r="J22">
        <v>1</v>
      </c>
      <c r="K22">
        <v>1</v>
      </c>
      <c r="M22" t="str">
        <f>VLOOKUP(line_chart_sankey[[#This Row],[team_code]], Sheet2!$F$1:$I$86, 4, FALSE)</f>
        <v>Group Stage</v>
      </c>
      <c r="N22" t="str">
        <f>VLOOKUP(line_chart_sankey[[#This Row],[team_code]], Sheet2!$F$1:$I$86, 2, FALSE)</f>
        <v>Group Stage</v>
      </c>
      <c r="O22" t="str">
        <f>VLOOKUP(line_chart_sankey[[#This Row],[team_code]], Sheet2!$F$1:$I$86, 3, FALSE)</f>
        <v>WC-2022</v>
      </c>
    </row>
    <row r="23" spans="1:15" hidden="1" x14ac:dyDescent="0.25">
      <c r="A23" t="s">
        <v>251</v>
      </c>
      <c r="B23" t="s">
        <v>170</v>
      </c>
      <c r="C23" t="s">
        <v>171</v>
      </c>
      <c r="D23" t="s">
        <v>85</v>
      </c>
      <c r="E23" t="s">
        <v>252</v>
      </c>
      <c r="F23" t="s">
        <v>4</v>
      </c>
      <c r="G23" t="s">
        <v>4</v>
      </c>
      <c r="H23" t="s">
        <v>87</v>
      </c>
      <c r="I23">
        <v>0.2475</v>
      </c>
      <c r="J23">
        <v>3</v>
      </c>
      <c r="K23">
        <v>0</v>
      </c>
      <c r="M23" t="str">
        <f>VLOOKUP(line_chart_sankey[[#This Row],[team_code]], Sheet2!$F$1:$I$86, 4, FALSE)</f>
        <v>Group Stage</v>
      </c>
      <c r="N23" t="str">
        <f>VLOOKUP(line_chart_sankey[[#This Row],[team_code]], Sheet2!$F$1:$I$86, 2, FALSE)</f>
        <v>Group Stage</v>
      </c>
      <c r="O23" t="str">
        <f>VLOOKUP(line_chart_sankey[[#This Row],[team_code]], Sheet2!$F$1:$I$86, 3, FALSE)</f>
        <v>WC-2022</v>
      </c>
    </row>
    <row r="24" spans="1:15" hidden="1" x14ac:dyDescent="0.25">
      <c r="A24" t="s">
        <v>46</v>
      </c>
      <c r="B24" t="s">
        <v>35</v>
      </c>
      <c r="C24" t="s">
        <v>36</v>
      </c>
      <c r="D24" t="s">
        <v>37</v>
      </c>
      <c r="E24" t="s">
        <v>48</v>
      </c>
      <c r="F24" t="s">
        <v>16</v>
      </c>
      <c r="G24" t="s">
        <v>270</v>
      </c>
      <c r="H24" t="s">
        <v>49</v>
      </c>
      <c r="I24">
        <v>25.8</v>
      </c>
      <c r="J24">
        <v>35</v>
      </c>
      <c r="K24">
        <v>1</v>
      </c>
      <c r="M24" t="str">
        <f>VLOOKUP(line_chart_sankey[[#This Row],[team_code]], Sheet2!$F$1:$I$86, 4, FALSE)</f>
        <v>Finals</v>
      </c>
      <c r="N24" t="str">
        <f>VLOOKUP(line_chart_sankey[[#This Row],[team_code]], Sheet2!$F$1:$I$86, 2, FALSE)</f>
        <v>2nd Winner</v>
      </c>
      <c r="O24" t="str">
        <f>VLOOKUP(line_chart_sankey[[#This Row],[team_code]], Sheet2!$F$1:$I$86, 3, FALSE)</f>
        <v>WC-1958</v>
      </c>
    </row>
    <row r="25" spans="1:15" hidden="1" x14ac:dyDescent="0.25">
      <c r="A25" t="s">
        <v>46</v>
      </c>
      <c r="B25" t="s">
        <v>35</v>
      </c>
      <c r="C25" t="s">
        <v>36</v>
      </c>
      <c r="D25" t="s">
        <v>37</v>
      </c>
      <c r="E25" t="s">
        <v>48</v>
      </c>
      <c r="F25" t="s">
        <v>16</v>
      </c>
      <c r="G25" t="s">
        <v>270</v>
      </c>
      <c r="H25" t="s">
        <v>49</v>
      </c>
      <c r="I25">
        <v>24.33</v>
      </c>
      <c r="J25">
        <v>4</v>
      </c>
      <c r="K25">
        <v>0</v>
      </c>
      <c r="M25" t="str">
        <f>VLOOKUP(line_chart_sankey[[#This Row],[team_code]], Sheet2!$F$1:$I$86, 4, FALSE)</f>
        <v>Finals</v>
      </c>
      <c r="N25" t="str">
        <f>VLOOKUP(line_chart_sankey[[#This Row],[team_code]], Sheet2!$F$1:$I$86, 2, FALSE)</f>
        <v>2nd Winner</v>
      </c>
      <c r="O25" t="str">
        <f>VLOOKUP(line_chart_sankey[[#This Row],[team_code]], Sheet2!$F$1:$I$86, 3, FALSE)</f>
        <v>WC-1958</v>
      </c>
    </row>
    <row r="26" spans="1:15" hidden="1" x14ac:dyDescent="0.25">
      <c r="A26" t="s">
        <v>159</v>
      </c>
      <c r="B26" t="s">
        <v>145</v>
      </c>
      <c r="C26" t="s">
        <v>146</v>
      </c>
      <c r="D26" t="s">
        <v>89</v>
      </c>
      <c r="E26" t="s">
        <v>160</v>
      </c>
      <c r="F26" t="s">
        <v>140</v>
      </c>
      <c r="G26" t="s">
        <v>272</v>
      </c>
      <c r="H26" t="s">
        <v>90</v>
      </c>
      <c r="I26">
        <v>1.91</v>
      </c>
      <c r="J26">
        <v>4</v>
      </c>
      <c r="K26">
        <v>1</v>
      </c>
      <c r="M26" t="str">
        <f>VLOOKUP(line_chart_sankey[[#This Row],[team_code]], Sheet2!$F$1:$I$86, 4, FALSE)</f>
        <v>Semi-Finals</v>
      </c>
      <c r="N26" t="str">
        <f>VLOOKUP(line_chart_sankey[[#This Row],[team_code]], Sheet2!$F$1:$I$86, 2, FALSE)</f>
        <v>3rd Place</v>
      </c>
      <c r="O26" t="str">
        <f>VLOOKUP(line_chart_sankey[[#This Row],[team_code]], Sheet2!$F$1:$I$86, 3, FALSE)</f>
        <v>WC-1962</v>
      </c>
    </row>
    <row r="27" spans="1:15" hidden="1" x14ac:dyDescent="0.25">
      <c r="A27" t="s">
        <v>159</v>
      </c>
      <c r="B27" t="s">
        <v>145</v>
      </c>
      <c r="C27" t="s">
        <v>146</v>
      </c>
      <c r="D27" t="s">
        <v>89</v>
      </c>
      <c r="E27" t="s">
        <v>160</v>
      </c>
      <c r="F27" t="s">
        <v>140</v>
      </c>
      <c r="G27" t="s">
        <v>272</v>
      </c>
      <c r="H27" t="s">
        <v>90</v>
      </c>
      <c r="I27">
        <v>1.825</v>
      </c>
      <c r="J27">
        <v>2</v>
      </c>
      <c r="K27">
        <v>0</v>
      </c>
      <c r="M27" t="str">
        <f>VLOOKUP(line_chart_sankey[[#This Row],[team_code]], Sheet2!$F$1:$I$86, 4, FALSE)</f>
        <v>Semi-Finals</v>
      </c>
      <c r="N27" t="str">
        <f>VLOOKUP(line_chart_sankey[[#This Row],[team_code]], Sheet2!$F$1:$I$86, 2, FALSE)</f>
        <v>3rd Place</v>
      </c>
      <c r="O27" t="str">
        <f>VLOOKUP(line_chart_sankey[[#This Row],[team_code]], Sheet2!$F$1:$I$86, 3, FALSE)</f>
        <v>WC-1962</v>
      </c>
    </row>
    <row r="28" spans="1:15" hidden="1" x14ac:dyDescent="0.25">
      <c r="A28" t="s">
        <v>216</v>
      </c>
      <c r="B28" t="s">
        <v>191</v>
      </c>
      <c r="C28" t="s">
        <v>153</v>
      </c>
      <c r="D28" t="s">
        <v>60</v>
      </c>
      <c r="E28" t="s">
        <v>217</v>
      </c>
      <c r="F28" t="s">
        <v>4</v>
      </c>
      <c r="G28" t="s">
        <v>4</v>
      </c>
      <c r="H28" t="s">
        <v>61</v>
      </c>
      <c r="I28">
        <v>0.78</v>
      </c>
      <c r="J28">
        <v>5</v>
      </c>
      <c r="K28">
        <v>1</v>
      </c>
      <c r="M28" t="str">
        <f>VLOOKUP(line_chart_sankey[[#This Row],[team_code]], Sheet2!$F$1:$I$86, 4, FALSE)</f>
        <v>Group Stage</v>
      </c>
      <c r="N28" t="str">
        <f>VLOOKUP(line_chart_sankey[[#This Row],[team_code]], Sheet2!$F$1:$I$86, 2, FALSE)</f>
        <v>Group Stage</v>
      </c>
      <c r="O28" t="str">
        <f>VLOOKUP(line_chart_sankey[[#This Row],[team_code]], Sheet2!$F$1:$I$86, 3, FALSE)</f>
        <v>WC-1978</v>
      </c>
    </row>
    <row r="29" spans="1:15" hidden="1" x14ac:dyDescent="0.25">
      <c r="A29" t="s">
        <v>216</v>
      </c>
      <c r="B29" t="s">
        <v>191</v>
      </c>
      <c r="C29" t="s">
        <v>153</v>
      </c>
      <c r="D29" t="s">
        <v>60</v>
      </c>
      <c r="E29" t="s">
        <v>217</v>
      </c>
      <c r="F29" t="s">
        <v>4</v>
      </c>
      <c r="G29" t="s">
        <v>4</v>
      </c>
      <c r="H29" t="s">
        <v>61</v>
      </c>
      <c r="I29" s="1">
        <v>0.3957</v>
      </c>
      <c r="J29">
        <v>5</v>
      </c>
      <c r="K29">
        <v>0</v>
      </c>
      <c r="M29" t="str">
        <f>VLOOKUP(line_chart_sankey[[#This Row],[team_code]], Sheet2!$F$1:$I$86, 4, FALSE)</f>
        <v>Group Stage</v>
      </c>
      <c r="N29" t="str">
        <f>VLOOKUP(line_chart_sankey[[#This Row],[team_code]], Sheet2!$F$1:$I$86, 2, FALSE)</f>
        <v>Group Stage</v>
      </c>
      <c r="O29" t="str">
        <f>VLOOKUP(line_chart_sankey[[#This Row],[team_code]], Sheet2!$F$1:$I$86, 3, FALSE)</f>
        <v>WC-1978</v>
      </c>
    </row>
    <row r="30" spans="1:15" hidden="1" x14ac:dyDescent="0.25">
      <c r="A30" t="s">
        <v>243</v>
      </c>
      <c r="B30" t="s">
        <v>162</v>
      </c>
      <c r="C30" t="s">
        <v>163</v>
      </c>
      <c r="D30" t="s">
        <v>125</v>
      </c>
      <c r="E30" t="s">
        <v>244</v>
      </c>
      <c r="F30" t="s">
        <v>4</v>
      </c>
      <c r="G30" t="s">
        <v>4</v>
      </c>
      <c r="H30" t="s">
        <v>126</v>
      </c>
      <c r="I30">
        <v>0.4</v>
      </c>
      <c r="J30">
        <v>2</v>
      </c>
      <c r="K30">
        <v>1</v>
      </c>
      <c r="M30" t="str">
        <f>VLOOKUP(line_chart_sankey[[#This Row],[team_code]], Sheet2!$F$1:$I$86, 4, FALSE)</f>
        <v>Group Stage</v>
      </c>
      <c r="N30" t="str">
        <f>VLOOKUP(line_chart_sankey[[#This Row],[team_code]], Sheet2!$F$1:$I$86, 2, FALSE)</f>
        <v>Group Stage</v>
      </c>
      <c r="O30" t="str">
        <f>VLOOKUP(line_chart_sankey[[#This Row],[team_code]], Sheet2!$F$1:$I$86, 3, FALSE)</f>
        <v>WC-2006</v>
      </c>
    </row>
    <row r="31" spans="1:15" hidden="1" x14ac:dyDescent="0.25">
      <c r="A31" t="s">
        <v>243</v>
      </c>
      <c r="B31" t="s">
        <v>162</v>
      </c>
      <c r="C31" t="s">
        <v>163</v>
      </c>
      <c r="D31" t="s">
        <v>125</v>
      </c>
      <c r="E31" t="s">
        <v>244</v>
      </c>
      <c r="F31" t="s">
        <v>4</v>
      </c>
      <c r="G31" t="s">
        <v>4</v>
      </c>
      <c r="H31" t="s">
        <v>126</v>
      </c>
      <c r="I31">
        <v>0.14710000000000001</v>
      </c>
      <c r="J31">
        <v>5</v>
      </c>
      <c r="K31">
        <v>0</v>
      </c>
      <c r="M31" t="str">
        <f>VLOOKUP(line_chart_sankey[[#This Row],[team_code]], Sheet2!$F$1:$I$86, 4, FALSE)</f>
        <v>Group Stage</v>
      </c>
      <c r="N31" t="str">
        <f>VLOOKUP(line_chart_sankey[[#This Row],[team_code]], Sheet2!$F$1:$I$86, 2, FALSE)</f>
        <v>Group Stage</v>
      </c>
      <c r="O31" t="str">
        <f>VLOOKUP(line_chart_sankey[[#This Row],[team_code]], Sheet2!$F$1:$I$86, 3, FALSE)</f>
        <v>WC-2006</v>
      </c>
    </row>
    <row r="32" spans="1:15" hidden="1" x14ac:dyDescent="0.25">
      <c r="A32" t="s">
        <v>185</v>
      </c>
      <c r="B32" t="s">
        <v>162</v>
      </c>
      <c r="C32" t="s">
        <v>163</v>
      </c>
      <c r="D32" t="s">
        <v>107</v>
      </c>
      <c r="E32" t="s">
        <v>186</v>
      </c>
      <c r="F32" t="s">
        <v>263</v>
      </c>
      <c r="G32" t="s">
        <v>263</v>
      </c>
      <c r="H32" t="s">
        <v>108</v>
      </c>
      <c r="I32">
        <v>2.5750000000000002</v>
      </c>
      <c r="J32">
        <v>3</v>
      </c>
      <c r="K32">
        <v>1</v>
      </c>
      <c r="M32" t="str">
        <f>VLOOKUP(line_chart_sankey[[#This Row],[team_code]], Sheet2!$F$1:$I$86, 4, FALSE)</f>
        <v>Quarter-Finals</v>
      </c>
      <c r="N32" t="str">
        <f>VLOOKUP(line_chart_sankey[[#This Row],[team_code]], Sheet2!$F$1:$I$86, 2, FALSE)</f>
        <v>Quarter-Finals</v>
      </c>
      <c r="O32" t="str">
        <f>VLOOKUP(line_chart_sankey[[#This Row],[team_code]], Sheet2!$F$1:$I$86, 3, FALSE)</f>
        <v>WC-1990</v>
      </c>
    </row>
    <row r="33" spans="1:15" hidden="1" x14ac:dyDescent="0.25">
      <c r="A33" t="s">
        <v>185</v>
      </c>
      <c r="B33" t="s">
        <v>162</v>
      </c>
      <c r="C33" t="s">
        <v>163</v>
      </c>
      <c r="D33" t="s">
        <v>107</v>
      </c>
      <c r="E33" t="s">
        <v>186</v>
      </c>
      <c r="F33" t="s">
        <v>263</v>
      </c>
      <c r="G33" t="s">
        <v>263</v>
      </c>
      <c r="H33" t="s">
        <v>108</v>
      </c>
      <c r="I33">
        <v>1.2875000000000001</v>
      </c>
      <c r="J33">
        <v>4</v>
      </c>
      <c r="K33">
        <v>0</v>
      </c>
      <c r="M33" t="str">
        <f>VLOOKUP(line_chart_sankey[[#This Row],[team_code]], Sheet2!$F$1:$I$86, 4, FALSE)</f>
        <v>Quarter-Finals</v>
      </c>
      <c r="N33" t="str">
        <f>VLOOKUP(line_chart_sankey[[#This Row],[team_code]], Sheet2!$F$1:$I$86, 2, FALSE)</f>
        <v>Quarter-Finals</v>
      </c>
      <c r="O33" t="str">
        <f>VLOOKUP(line_chart_sankey[[#This Row],[team_code]], Sheet2!$F$1:$I$86, 3, FALSE)</f>
        <v>WC-1990</v>
      </c>
    </row>
    <row r="34" spans="1:15" hidden="1" x14ac:dyDescent="0.25">
      <c r="A34" t="s">
        <v>253</v>
      </c>
      <c r="B34" t="s">
        <v>162</v>
      </c>
      <c r="C34" t="s">
        <v>163</v>
      </c>
      <c r="D34" t="s">
        <v>53</v>
      </c>
      <c r="E34" t="s">
        <v>254</v>
      </c>
      <c r="F34" t="s">
        <v>4</v>
      </c>
      <c r="G34" t="s">
        <v>4</v>
      </c>
      <c r="H34" t="s">
        <v>55</v>
      </c>
      <c r="I34">
        <v>0.67500000000000004</v>
      </c>
      <c r="J34">
        <v>4</v>
      </c>
      <c r="K34">
        <v>1</v>
      </c>
      <c r="M34" t="str">
        <f>VLOOKUP(line_chart_sankey[[#This Row],[team_code]], Sheet2!$F$1:$I$86, 4, FALSE)</f>
        <v>Group Stage</v>
      </c>
      <c r="N34" t="str">
        <f>VLOOKUP(line_chart_sankey[[#This Row],[team_code]], Sheet2!$F$1:$I$86, 2, FALSE)</f>
        <v>Group Stage</v>
      </c>
      <c r="O34" t="str">
        <f>VLOOKUP(line_chart_sankey[[#This Row],[team_code]], Sheet2!$F$1:$I$86, 3, FALSE)</f>
        <v>WC-1974</v>
      </c>
    </row>
    <row r="35" spans="1:15" hidden="1" x14ac:dyDescent="0.25">
      <c r="A35" t="s">
        <v>253</v>
      </c>
      <c r="B35" t="s">
        <v>162</v>
      </c>
      <c r="C35" t="s">
        <v>163</v>
      </c>
      <c r="D35" t="s">
        <v>53</v>
      </c>
      <c r="E35" t="s">
        <v>254</v>
      </c>
      <c r="F35" t="s">
        <v>4</v>
      </c>
      <c r="G35" t="s">
        <v>4</v>
      </c>
      <c r="H35" t="s">
        <v>55</v>
      </c>
      <c r="I35">
        <v>0.2407</v>
      </c>
      <c r="J35">
        <v>2</v>
      </c>
      <c r="K35">
        <v>0</v>
      </c>
      <c r="M35" t="str">
        <f>VLOOKUP(line_chart_sankey[[#This Row],[team_code]], Sheet2!$F$1:$I$86, 4, FALSE)</f>
        <v>Group Stage</v>
      </c>
      <c r="N35" t="str">
        <f>VLOOKUP(line_chart_sankey[[#This Row],[team_code]], Sheet2!$F$1:$I$86, 2, FALSE)</f>
        <v>Group Stage</v>
      </c>
      <c r="O35" t="str">
        <f>VLOOKUP(line_chart_sankey[[#This Row],[team_code]], Sheet2!$F$1:$I$86, 3, FALSE)</f>
        <v>WC-1974</v>
      </c>
    </row>
    <row r="36" spans="1:15" hidden="1" x14ac:dyDescent="0.25">
      <c r="A36" t="s">
        <v>175</v>
      </c>
      <c r="B36" t="s">
        <v>145</v>
      </c>
      <c r="C36" t="s">
        <v>146</v>
      </c>
      <c r="D36" t="s">
        <v>114</v>
      </c>
      <c r="E36" t="s">
        <v>176</v>
      </c>
      <c r="F36" t="s">
        <v>263</v>
      </c>
      <c r="G36" t="s">
        <v>263</v>
      </c>
      <c r="H36" t="s">
        <v>108</v>
      </c>
      <c r="I36">
        <v>0.97499999999999998</v>
      </c>
      <c r="J36">
        <v>5</v>
      </c>
      <c r="K36">
        <v>1</v>
      </c>
      <c r="M36" t="str">
        <f>VLOOKUP(line_chart_sankey[[#This Row],[team_code]], Sheet2!$F$1:$I$86, 4, FALSE)</f>
        <v>Quarter-Finals</v>
      </c>
      <c r="N36" t="str">
        <f>VLOOKUP(line_chart_sankey[[#This Row],[team_code]], Sheet2!$F$1:$I$86, 2, FALSE)</f>
        <v>Quarter-Finals</v>
      </c>
      <c r="O36" t="str">
        <f>VLOOKUP(line_chart_sankey[[#This Row],[team_code]], Sheet2!$F$1:$I$86, 3, FALSE)</f>
        <v>WC-2014</v>
      </c>
    </row>
    <row r="37" spans="1:15" hidden="1" x14ac:dyDescent="0.25">
      <c r="A37" t="s">
        <v>175</v>
      </c>
      <c r="B37" t="s">
        <v>145</v>
      </c>
      <c r="C37" t="s">
        <v>146</v>
      </c>
      <c r="D37" t="s">
        <v>114</v>
      </c>
      <c r="E37" t="s">
        <v>176</v>
      </c>
      <c r="F37" t="s">
        <v>263</v>
      </c>
      <c r="G37" t="s">
        <v>263</v>
      </c>
      <c r="H37" t="s">
        <v>108</v>
      </c>
      <c r="I37">
        <v>1.2589999999999999</v>
      </c>
      <c r="J37">
        <v>3</v>
      </c>
      <c r="K37">
        <v>0</v>
      </c>
      <c r="M37" t="str">
        <f>VLOOKUP(line_chart_sankey[[#This Row],[team_code]], Sheet2!$F$1:$I$86, 4, FALSE)</f>
        <v>Quarter-Finals</v>
      </c>
      <c r="N37" t="str">
        <f>VLOOKUP(line_chart_sankey[[#This Row],[team_code]], Sheet2!$F$1:$I$86, 2, FALSE)</f>
        <v>Quarter-Finals</v>
      </c>
      <c r="O37" t="str">
        <f>VLOOKUP(line_chart_sankey[[#This Row],[team_code]], Sheet2!$F$1:$I$86, 3, FALSE)</f>
        <v>WC-2014</v>
      </c>
    </row>
    <row r="38" spans="1:15" hidden="1" x14ac:dyDescent="0.25">
      <c r="A38" t="s">
        <v>187</v>
      </c>
      <c r="B38" t="s">
        <v>188</v>
      </c>
      <c r="C38" t="s">
        <v>171</v>
      </c>
      <c r="D38" t="s">
        <v>114</v>
      </c>
      <c r="E38" t="s">
        <v>189</v>
      </c>
      <c r="F38" t="s">
        <v>263</v>
      </c>
      <c r="G38" t="s">
        <v>263</v>
      </c>
      <c r="H38" t="s">
        <v>108</v>
      </c>
      <c r="I38">
        <v>2.2799999999999998</v>
      </c>
      <c r="J38">
        <v>2</v>
      </c>
      <c r="K38">
        <v>1</v>
      </c>
      <c r="M38" t="str">
        <f>VLOOKUP(line_chart_sankey[[#This Row],[team_code]], Sheet2!$F$1:$I$86, 4, FALSE)</f>
        <v>Quarter-Finals</v>
      </c>
      <c r="N38" t="str">
        <f>VLOOKUP(line_chart_sankey[[#This Row],[team_code]], Sheet2!$F$1:$I$86, 2, FALSE)</f>
        <v>Quarter-Finals</v>
      </c>
      <c r="O38" t="str">
        <f>VLOOKUP(line_chart_sankey[[#This Row],[team_code]], Sheet2!$F$1:$I$86, 3, FALSE)</f>
        <v>WC-2014</v>
      </c>
    </row>
    <row r="39" spans="1:15" hidden="1" x14ac:dyDescent="0.25">
      <c r="A39" t="s">
        <v>187</v>
      </c>
      <c r="B39" t="s">
        <v>188</v>
      </c>
      <c r="C39" t="s">
        <v>171</v>
      </c>
      <c r="D39" t="s">
        <v>114</v>
      </c>
      <c r="E39" t="s">
        <v>189</v>
      </c>
      <c r="F39" t="s">
        <v>263</v>
      </c>
      <c r="G39" t="s">
        <v>263</v>
      </c>
      <c r="H39" t="s">
        <v>108</v>
      </c>
      <c r="I39">
        <v>1.3149999999999999</v>
      </c>
      <c r="J39">
        <v>4</v>
      </c>
      <c r="K39">
        <v>0</v>
      </c>
      <c r="M39" t="str">
        <f>VLOOKUP(line_chart_sankey[[#This Row],[team_code]], Sheet2!$F$1:$I$86, 4, FALSE)</f>
        <v>Quarter-Finals</v>
      </c>
      <c r="N39" t="str">
        <f>VLOOKUP(line_chart_sankey[[#This Row],[team_code]], Sheet2!$F$1:$I$86, 2, FALSE)</f>
        <v>Quarter-Finals</v>
      </c>
      <c r="O39" t="str">
        <f>VLOOKUP(line_chart_sankey[[#This Row],[team_code]], Sheet2!$F$1:$I$86, 3, FALSE)</f>
        <v>WC-2014</v>
      </c>
    </row>
    <row r="40" spans="1:15" hidden="1" x14ac:dyDescent="0.25">
      <c r="A40" t="s">
        <v>117</v>
      </c>
      <c r="B40" t="s">
        <v>35</v>
      </c>
      <c r="C40" t="s">
        <v>36</v>
      </c>
      <c r="D40" t="s">
        <v>114</v>
      </c>
      <c r="E40" t="s">
        <v>118</v>
      </c>
      <c r="F40" t="s">
        <v>4</v>
      </c>
      <c r="G40" t="s">
        <v>4</v>
      </c>
      <c r="H40" t="s">
        <v>116</v>
      </c>
      <c r="I40">
        <v>0.25</v>
      </c>
      <c r="J40">
        <v>4</v>
      </c>
      <c r="K40">
        <v>1</v>
      </c>
      <c r="M40" t="str">
        <f>VLOOKUP(line_chart_sankey[[#This Row],[team_code]], Sheet2!$F$1:$I$86, 4, FALSE)</f>
        <v>Group Stage</v>
      </c>
      <c r="N40" t="str">
        <f>VLOOKUP(line_chart_sankey[[#This Row],[team_code]], Sheet2!$F$1:$I$86, 2, FALSE)</f>
        <v>Group Stage</v>
      </c>
      <c r="O40" t="str">
        <f>VLOOKUP(line_chart_sankey[[#This Row],[team_code]], Sheet2!$F$1:$I$86, 3, FALSE)</f>
        <v>WC-2014</v>
      </c>
    </row>
    <row r="41" spans="1:15" hidden="1" x14ac:dyDescent="0.25">
      <c r="A41" t="s">
        <v>117</v>
      </c>
      <c r="B41" t="s">
        <v>35</v>
      </c>
      <c r="C41" t="s">
        <v>36</v>
      </c>
      <c r="D41" t="s">
        <v>114</v>
      </c>
      <c r="E41" t="s">
        <v>118</v>
      </c>
      <c r="F41" t="s">
        <v>4</v>
      </c>
      <c r="G41" t="s">
        <v>4</v>
      </c>
      <c r="H41" t="s">
        <v>116</v>
      </c>
      <c r="I41">
        <v>0.25</v>
      </c>
      <c r="J41">
        <v>5</v>
      </c>
      <c r="K41">
        <v>0</v>
      </c>
      <c r="M41" t="str">
        <f>VLOOKUP(line_chart_sankey[[#This Row],[team_code]], Sheet2!$F$1:$I$86, 4, FALSE)</f>
        <v>Group Stage</v>
      </c>
      <c r="N41" t="str">
        <f>VLOOKUP(line_chart_sankey[[#This Row],[team_code]], Sheet2!$F$1:$I$86, 2, FALSE)</f>
        <v>Group Stage</v>
      </c>
      <c r="O41" t="str">
        <f>VLOOKUP(line_chart_sankey[[#This Row],[team_code]], Sheet2!$F$1:$I$86, 3, FALSE)</f>
        <v>WC-2014</v>
      </c>
    </row>
    <row r="42" spans="1:15" hidden="1" x14ac:dyDescent="0.25">
      <c r="A42" t="s">
        <v>206</v>
      </c>
      <c r="B42" t="s">
        <v>207</v>
      </c>
      <c r="C42" t="s">
        <v>171</v>
      </c>
      <c r="D42" t="s">
        <v>143</v>
      </c>
      <c r="E42" t="s">
        <v>208</v>
      </c>
      <c r="F42" t="s">
        <v>263</v>
      </c>
      <c r="G42" t="s">
        <v>263</v>
      </c>
      <c r="H42" t="s">
        <v>144</v>
      </c>
      <c r="I42">
        <v>2.54</v>
      </c>
      <c r="J42">
        <v>3</v>
      </c>
      <c r="K42">
        <v>1</v>
      </c>
      <c r="M42" t="str">
        <f>VLOOKUP(line_chart_sankey[[#This Row],[team_code]], Sheet2!$F$1:$I$86, 4, FALSE)</f>
        <v>Quarter-Finals</v>
      </c>
      <c r="N42" t="str">
        <f>VLOOKUP(line_chart_sankey[[#This Row],[team_code]], Sheet2!$F$1:$I$86, 2, FALSE)</f>
        <v>Quarter-Finals</v>
      </c>
      <c r="O42" t="str">
        <f>VLOOKUP(line_chart_sankey[[#This Row],[team_code]], Sheet2!$F$1:$I$86, 3, FALSE)</f>
        <v>WC-1938</v>
      </c>
    </row>
    <row r="43" spans="1:15" hidden="1" x14ac:dyDescent="0.25">
      <c r="A43" t="s">
        <v>206</v>
      </c>
      <c r="B43" t="s">
        <v>207</v>
      </c>
      <c r="C43" t="s">
        <v>171</v>
      </c>
      <c r="D43" t="s">
        <v>143</v>
      </c>
      <c r="E43" t="s">
        <v>208</v>
      </c>
      <c r="F43" t="s">
        <v>263</v>
      </c>
      <c r="G43" t="s">
        <v>263</v>
      </c>
      <c r="H43" t="s">
        <v>144</v>
      </c>
      <c r="I43">
        <v>1.45</v>
      </c>
      <c r="J43">
        <v>6</v>
      </c>
      <c r="K43">
        <v>0</v>
      </c>
      <c r="M43" t="str">
        <f>VLOOKUP(line_chart_sankey[[#This Row],[team_code]], Sheet2!$F$1:$I$86, 4, FALSE)</f>
        <v>Quarter-Finals</v>
      </c>
      <c r="N43" t="str">
        <f>VLOOKUP(line_chart_sankey[[#This Row],[team_code]], Sheet2!$F$1:$I$86, 2, FALSE)</f>
        <v>Quarter-Finals</v>
      </c>
      <c r="O43" t="str">
        <f>VLOOKUP(line_chart_sankey[[#This Row],[team_code]], Sheet2!$F$1:$I$86, 3, FALSE)</f>
        <v>WC-1938</v>
      </c>
    </row>
    <row r="44" spans="1:15" hidden="1" x14ac:dyDescent="0.25">
      <c r="A44" t="s">
        <v>129</v>
      </c>
      <c r="B44" t="s">
        <v>35</v>
      </c>
      <c r="C44" t="s">
        <v>36</v>
      </c>
      <c r="D44" t="s">
        <v>125</v>
      </c>
      <c r="E44" t="s">
        <v>130</v>
      </c>
      <c r="F44" t="s">
        <v>4</v>
      </c>
      <c r="G44" t="s">
        <v>4</v>
      </c>
      <c r="H44" t="s">
        <v>126</v>
      </c>
      <c r="I44">
        <v>1.1000000000000001</v>
      </c>
      <c r="J44">
        <v>7</v>
      </c>
      <c r="K44">
        <v>1</v>
      </c>
      <c r="M44" t="str">
        <f>VLOOKUP(line_chart_sankey[[#This Row],[team_code]], Sheet2!$F$1:$I$86, 4, FALSE)</f>
        <v>Group Stage</v>
      </c>
      <c r="N44" t="str">
        <f>VLOOKUP(line_chart_sankey[[#This Row],[team_code]], Sheet2!$F$1:$I$86, 2, FALSE)</f>
        <v>Group Stage</v>
      </c>
      <c r="O44" t="str">
        <f>VLOOKUP(line_chart_sankey[[#This Row],[team_code]], Sheet2!$F$1:$I$86, 3, FALSE)</f>
        <v>WC-2006</v>
      </c>
    </row>
    <row r="45" spans="1:15" hidden="1" x14ac:dyDescent="0.25">
      <c r="A45" t="s">
        <v>129</v>
      </c>
      <c r="B45" t="s">
        <v>35</v>
      </c>
      <c r="C45" t="s">
        <v>36</v>
      </c>
      <c r="D45" t="s">
        <v>125</v>
      </c>
      <c r="E45" t="s">
        <v>130</v>
      </c>
      <c r="F45" t="s">
        <v>4</v>
      </c>
      <c r="G45" t="s">
        <v>4</v>
      </c>
      <c r="H45" t="s">
        <v>126</v>
      </c>
      <c r="I45">
        <v>0.75</v>
      </c>
      <c r="J45">
        <v>0</v>
      </c>
      <c r="K45">
        <v>0</v>
      </c>
      <c r="M45" t="str">
        <f>VLOOKUP(line_chart_sankey[[#This Row],[team_code]], Sheet2!$F$1:$I$86, 4, FALSE)</f>
        <v>Group Stage</v>
      </c>
      <c r="N45" t="str">
        <f>VLOOKUP(line_chart_sankey[[#This Row],[team_code]], Sheet2!$F$1:$I$86, 2, FALSE)</f>
        <v>Group Stage</v>
      </c>
      <c r="O45" t="str">
        <f>VLOOKUP(line_chart_sankey[[#This Row],[team_code]], Sheet2!$F$1:$I$86, 3, FALSE)</f>
        <v>WC-2006</v>
      </c>
    </row>
    <row r="46" spans="1:15" hidden="1" x14ac:dyDescent="0.25">
      <c r="A46" t="s">
        <v>52</v>
      </c>
      <c r="B46" t="s">
        <v>35</v>
      </c>
      <c r="C46" t="s">
        <v>36</v>
      </c>
      <c r="D46" t="s">
        <v>53</v>
      </c>
      <c r="E46" t="s">
        <v>54</v>
      </c>
      <c r="F46" t="s">
        <v>19</v>
      </c>
      <c r="G46" t="s">
        <v>19</v>
      </c>
      <c r="H46" t="s">
        <v>55</v>
      </c>
      <c r="I46">
        <v>1.8</v>
      </c>
      <c r="J46">
        <v>8</v>
      </c>
      <c r="K46">
        <v>1</v>
      </c>
      <c r="M46" t="str">
        <f>VLOOKUP(line_chart_sankey[[#This Row],[team_code]], Sheet2!$F$1:$I$86, 4, FALSE)</f>
        <v>Group Stage</v>
      </c>
      <c r="N46" t="str">
        <f>VLOOKUP(line_chart_sankey[[#This Row],[team_code]], Sheet2!$F$1:$I$86, 2, FALSE)</f>
        <v>Group Stage</v>
      </c>
      <c r="O46" t="str">
        <f>VLOOKUP(line_chart_sankey[[#This Row],[team_code]], Sheet2!$F$1:$I$86, 3, FALSE)</f>
        <v>WC-1974</v>
      </c>
    </row>
    <row r="47" spans="1:15" hidden="1" x14ac:dyDescent="0.25">
      <c r="A47" t="s">
        <v>52</v>
      </c>
      <c r="B47" t="s">
        <v>35</v>
      </c>
      <c r="C47" t="s">
        <v>36</v>
      </c>
      <c r="D47" t="s">
        <v>53</v>
      </c>
      <c r="E47" t="s">
        <v>54</v>
      </c>
      <c r="F47" t="s">
        <v>19</v>
      </c>
      <c r="G47" t="s">
        <v>19</v>
      </c>
      <c r="H47" t="s">
        <v>55</v>
      </c>
      <c r="I47">
        <v>1.25</v>
      </c>
      <c r="J47">
        <v>2</v>
      </c>
      <c r="K47">
        <v>0</v>
      </c>
      <c r="M47" t="str">
        <f>VLOOKUP(line_chart_sankey[[#This Row],[team_code]], Sheet2!$F$1:$I$86, 4, FALSE)</f>
        <v>Group Stage</v>
      </c>
      <c r="N47" t="str">
        <f>VLOOKUP(line_chart_sankey[[#This Row],[team_code]], Sheet2!$F$1:$I$86, 2, FALSE)</f>
        <v>Group Stage</v>
      </c>
      <c r="O47" t="str">
        <f>VLOOKUP(line_chart_sankey[[#This Row],[team_code]], Sheet2!$F$1:$I$86, 3, FALSE)</f>
        <v>WC-1974</v>
      </c>
    </row>
    <row r="48" spans="1:15" x14ac:dyDescent="0.25">
      <c r="A48" t="s">
        <v>131</v>
      </c>
      <c r="B48" t="s">
        <v>35</v>
      </c>
      <c r="C48" t="s">
        <v>36</v>
      </c>
      <c r="D48" t="s">
        <v>60</v>
      </c>
      <c r="E48" t="s">
        <v>261</v>
      </c>
      <c r="F48" t="s">
        <v>19</v>
      </c>
      <c r="G48" t="s">
        <v>19</v>
      </c>
      <c r="H48" t="s">
        <v>61</v>
      </c>
      <c r="I48">
        <v>2.7</v>
      </c>
      <c r="J48">
        <v>9</v>
      </c>
      <c r="K48">
        <v>1</v>
      </c>
      <c r="M48" t="s">
        <v>19</v>
      </c>
      <c r="N48" t="s">
        <v>19</v>
      </c>
      <c r="O48" t="str">
        <f>VLOOKUP(line_chart_sankey[[#This Row],[team_code]], Sheet2!$F$1:$I$86, 3, FALSE)</f>
        <v>WC-1978</v>
      </c>
    </row>
    <row r="49" spans="1:15" x14ac:dyDescent="0.25">
      <c r="A49" t="s">
        <v>131</v>
      </c>
      <c r="B49" t="s">
        <v>35</v>
      </c>
      <c r="C49" t="s">
        <v>36</v>
      </c>
      <c r="D49" t="s">
        <v>60</v>
      </c>
      <c r="E49" t="s">
        <v>261</v>
      </c>
      <c r="F49" t="s">
        <v>19</v>
      </c>
      <c r="G49" t="s">
        <v>19</v>
      </c>
      <c r="H49" t="s">
        <v>61</v>
      </c>
      <c r="I49">
        <v>1.75</v>
      </c>
      <c r="J49">
        <v>5</v>
      </c>
      <c r="K49">
        <v>0</v>
      </c>
      <c r="M49" t="s">
        <v>19</v>
      </c>
      <c r="N49" t="s">
        <v>19</v>
      </c>
      <c r="O49" t="str">
        <f>VLOOKUP(line_chart_sankey[[#This Row],[team_code]], Sheet2!$F$1:$I$86, 3, FALSE)</f>
        <v>WC-1978</v>
      </c>
    </row>
    <row r="50" spans="1:15" hidden="1" x14ac:dyDescent="0.25">
      <c r="A50" t="s">
        <v>80</v>
      </c>
      <c r="B50" t="s">
        <v>35</v>
      </c>
      <c r="C50" t="s">
        <v>36</v>
      </c>
      <c r="D50" t="s">
        <v>81</v>
      </c>
      <c r="E50" t="s">
        <v>82</v>
      </c>
      <c r="F50" t="s">
        <v>4</v>
      </c>
      <c r="G50" t="s">
        <v>4</v>
      </c>
      <c r="H50" t="s">
        <v>83</v>
      </c>
      <c r="I50">
        <v>3.4</v>
      </c>
      <c r="J50">
        <v>19</v>
      </c>
      <c r="K50">
        <v>1</v>
      </c>
      <c r="M50" t="str">
        <f>VLOOKUP(line_chart_sankey[[#This Row],[team_code]], Sheet2!$F$1:$I$86, 4, FALSE)</f>
        <v>Group Stage</v>
      </c>
      <c r="N50" t="str">
        <f>VLOOKUP(line_chart_sankey[[#This Row],[team_code]], Sheet2!$F$1:$I$86, 2, FALSE)</f>
        <v>Group Stage</v>
      </c>
      <c r="O50" t="str">
        <f>VLOOKUP(line_chart_sankey[[#This Row],[team_code]], Sheet2!$F$1:$I$86, 3, FALSE)</f>
        <v>WC-2018</v>
      </c>
    </row>
    <row r="51" spans="1:15" hidden="1" x14ac:dyDescent="0.25">
      <c r="A51" t="s">
        <v>80</v>
      </c>
      <c r="B51" t="s">
        <v>35</v>
      </c>
      <c r="C51" t="s">
        <v>36</v>
      </c>
      <c r="D51" t="s">
        <v>81</v>
      </c>
      <c r="E51" t="s">
        <v>82</v>
      </c>
      <c r="F51" t="s">
        <v>4</v>
      </c>
      <c r="G51" t="s">
        <v>4</v>
      </c>
      <c r="H51" t="s">
        <v>83</v>
      </c>
      <c r="I51">
        <v>2.25</v>
      </c>
      <c r="J51">
        <v>2</v>
      </c>
      <c r="K51">
        <v>0</v>
      </c>
      <c r="M51" t="str">
        <f>VLOOKUP(line_chart_sankey[[#This Row],[team_code]], Sheet2!$F$1:$I$86, 4, FALSE)</f>
        <v>Group Stage</v>
      </c>
      <c r="N51" t="str">
        <f>VLOOKUP(line_chart_sankey[[#This Row],[team_code]], Sheet2!$F$1:$I$86, 2, FALSE)</f>
        <v>Group Stage</v>
      </c>
      <c r="O51" t="str">
        <f>VLOOKUP(line_chart_sankey[[#This Row],[team_code]], Sheet2!$F$1:$I$86, 3, FALSE)</f>
        <v>WC-2018</v>
      </c>
    </row>
    <row r="52" spans="1:15" hidden="1" x14ac:dyDescent="0.25">
      <c r="A52" t="s">
        <v>214</v>
      </c>
      <c r="B52" t="s">
        <v>191</v>
      </c>
      <c r="C52" t="s">
        <v>36</v>
      </c>
      <c r="D52" t="s">
        <v>47</v>
      </c>
      <c r="E52" t="s">
        <v>215</v>
      </c>
      <c r="F52" t="s">
        <v>4</v>
      </c>
      <c r="G52" t="s">
        <v>4</v>
      </c>
      <c r="H52" t="s">
        <v>49</v>
      </c>
      <c r="I52">
        <v>4.2</v>
      </c>
      <c r="J52">
        <v>20</v>
      </c>
      <c r="K52">
        <v>1</v>
      </c>
      <c r="M52" t="str">
        <f>VLOOKUP(line_chart_sankey[[#This Row],[team_code]], Sheet2!$F$1:$I$86, 4, FALSE)</f>
        <v>Group Stage</v>
      </c>
      <c r="N52" t="str">
        <f>VLOOKUP(line_chart_sankey[[#This Row],[team_code]], Sheet2!$F$1:$I$86, 2, FALSE)</f>
        <v>Group Stage</v>
      </c>
      <c r="O52" t="str">
        <f>VLOOKUP(line_chart_sankey[[#This Row],[team_code]], Sheet2!$F$1:$I$86, 3, FALSE)</f>
        <v>WC-1970</v>
      </c>
    </row>
    <row r="53" spans="1:15" hidden="1" x14ac:dyDescent="0.25">
      <c r="A53" t="s">
        <v>214</v>
      </c>
      <c r="B53" t="s">
        <v>191</v>
      </c>
      <c r="C53" t="s">
        <v>36</v>
      </c>
      <c r="D53" t="s">
        <v>47</v>
      </c>
      <c r="E53" t="s">
        <v>215</v>
      </c>
      <c r="F53" t="s">
        <v>4</v>
      </c>
      <c r="G53" t="s">
        <v>4</v>
      </c>
      <c r="H53" t="s">
        <v>49</v>
      </c>
      <c r="I53">
        <v>2.75</v>
      </c>
      <c r="J53">
        <v>6</v>
      </c>
      <c r="K53">
        <v>0</v>
      </c>
      <c r="M53" t="str">
        <f>VLOOKUP(line_chart_sankey[[#This Row],[team_code]], Sheet2!$F$1:$I$86, 4, FALSE)</f>
        <v>Group Stage</v>
      </c>
      <c r="N53" t="str">
        <f>VLOOKUP(line_chart_sankey[[#This Row],[team_code]], Sheet2!$F$1:$I$86, 2, FALSE)</f>
        <v>Group Stage</v>
      </c>
      <c r="O53" t="str">
        <f>VLOOKUP(line_chart_sankey[[#This Row],[team_code]], Sheet2!$F$1:$I$86, 3, FALSE)</f>
        <v>WC-1970</v>
      </c>
    </row>
    <row r="54" spans="1:15" hidden="1" x14ac:dyDescent="0.25">
      <c r="A54" t="s">
        <v>183</v>
      </c>
      <c r="B54" t="s">
        <v>162</v>
      </c>
      <c r="C54" t="s">
        <v>163</v>
      </c>
      <c r="D54" t="s">
        <v>114</v>
      </c>
      <c r="E54" t="s">
        <v>184</v>
      </c>
      <c r="F54" t="s">
        <v>7</v>
      </c>
      <c r="G54" t="s">
        <v>7</v>
      </c>
      <c r="H54" t="s">
        <v>116</v>
      </c>
      <c r="I54">
        <v>1.7749999999999999</v>
      </c>
      <c r="J54">
        <v>5</v>
      </c>
      <c r="K54">
        <v>1</v>
      </c>
      <c r="M54" t="str">
        <f>VLOOKUP(line_chart_sankey[[#This Row],[team_code]], Sheet2!$F$1:$I$86, 4, FALSE)</f>
        <v>Round of 16</v>
      </c>
      <c r="N54" t="str">
        <f>VLOOKUP(line_chart_sankey[[#This Row],[team_code]], Sheet2!$F$1:$I$86, 2, FALSE)</f>
        <v>Round of 16</v>
      </c>
      <c r="O54" t="str">
        <f>VLOOKUP(line_chart_sankey[[#This Row],[team_code]], Sheet2!$F$1:$I$86, 3, FALSE)</f>
        <v>WC-2014</v>
      </c>
    </row>
    <row r="55" spans="1:15" hidden="1" x14ac:dyDescent="0.25">
      <c r="A55" t="s">
        <v>183</v>
      </c>
      <c r="B55" t="s">
        <v>162</v>
      </c>
      <c r="C55" t="s">
        <v>163</v>
      </c>
      <c r="D55" t="s">
        <v>114</v>
      </c>
      <c r="E55" t="s">
        <v>184</v>
      </c>
      <c r="F55" t="s">
        <v>7</v>
      </c>
      <c r="G55" t="s">
        <v>7</v>
      </c>
      <c r="H55" t="s">
        <v>116</v>
      </c>
      <c r="I55">
        <v>0.70299999999999996</v>
      </c>
      <c r="J55">
        <v>1</v>
      </c>
      <c r="K55">
        <v>0</v>
      </c>
      <c r="M55" t="str">
        <f>VLOOKUP(line_chart_sankey[[#This Row],[team_code]], Sheet2!$F$1:$I$86, 4, FALSE)</f>
        <v>Round of 16</v>
      </c>
      <c r="N55" t="str">
        <f>VLOOKUP(line_chart_sankey[[#This Row],[team_code]], Sheet2!$F$1:$I$86, 2, FALSE)</f>
        <v>Round of 16</v>
      </c>
      <c r="O55" t="str">
        <f>VLOOKUP(line_chart_sankey[[#This Row],[team_code]], Sheet2!$F$1:$I$86, 3, FALSE)</f>
        <v>WC-2014</v>
      </c>
    </row>
    <row r="56" spans="1:15" hidden="1" x14ac:dyDescent="0.25">
      <c r="A56" t="s">
        <v>202</v>
      </c>
      <c r="B56" t="s">
        <v>145</v>
      </c>
      <c r="C56" t="s">
        <v>146</v>
      </c>
      <c r="D56" t="s">
        <v>125</v>
      </c>
      <c r="E56" t="s">
        <v>203</v>
      </c>
      <c r="F56" t="s">
        <v>7</v>
      </c>
      <c r="G56" t="s">
        <v>7</v>
      </c>
      <c r="H56" t="s">
        <v>126</v>
      </c>
      <c r="I56">
        <v>0.66</v>
      </c>
      <c r="J56">
        <v>6</v>
      </c>
      <c r="K56">
        <v>1</v>
      </c>
      <c r="M56" t="str">
        <f>VLOOKUP(line_chart_sankey[[#This Row],[team_code]], Sheet2!$F$1:$I$86, 4, FALSE)</f>
        <v>Round of 16</v>
      </c>
      <c r="N56" t="str">
        <f>VLOOKUP(line_chart_sankey[[#This Row],[team_code]], Sheet2!$F$1:$I$86, 2, FALSE)</f>
        <v>Round of 16</v>
      </c>
      <c r="O56" t="str">
        <f>VLOOKUP(line_chart_sankey[[#This Row],[team_code]], Sheet2!$F$1:$I$86, 3, FALSE)</f>
        <v>WC-2006</v>
      </c>
    </row>
    <row r="57" spans="1:15" hidden="1" x14ac:dyDescent="0.25">
      <c r="A57" t="s">
        <v>202</v>
      </c>
      <c r="B57" t="s">
        <v>145</v>
      </c>
      <c r="C57" t="s">
        <v>146</v>
      </c>
      <c r="D57" t="s">
        <v>125</v>
      </c>
      <c r="E57" t="s">
        <v>203</v>
      </c>
      <c r="F57" t="s">
        <v>7</v>
      </c>
      <c r="G57" t="s">
        <v>7</v>
      </c>
      <c r="H57" t="s">
        <v>126</v>
      </c>
      <c r="I57">
        <v>0.92500000000000004</v>
      </c>
      <c r="J57">
        <v>1</v>
      </c>
      <c r="K57">
        <v>0</v>
      </c>
      <c r="M57" t="str">
        <f>VLOOKUP(line_chart_sankey[[#This Row],[team_code]], Sheet2!$F$1:$I$86, 4, FALSE)</f>
        <v>Round of 16</v>
      </c>
      <c r="N57" t="str">
        <f>VLOOKUP(line_chart_sankey[[#This Row],[team_code]], Sheet2!$F$1:$I$86, 2, FALSE)</f>
        <v>Round of 16</v>
      </c>
      <c r="O57" t="str">
        <f>VLOOKUP(line_chart_sankey[[#This Row],[team_code]], Sheet2!$F$1:$I$86, 3, FALSE)</f>
        <v>WC-2006</v>
      </c>
    </row>
    <row r="58" spans="1:15" hidden="1" x14ac:dyDescent="0.25">
      <c r="A58" t="s">
        <v>209</v>
      </c>
      <c r="B58" t="s">
        <v>162</v>
      </c>
      <c r="C58" t="s">
        <v>163</v>
      </c>
      <c r="D58" t="s">
        <v>141</v>
      </c>
      <c r="E58" t="s">
        <v>210</v>
      </c>
      <c r="F58" t="s">
        <v>7</v>
      </c>
      <c r="G58" t="s">
        <v>7</v>
      </c>
      <c r="H58" t="s">
        <v>142</v>
      </c>
      <c r="I58">
        <v>2.06</v>
      </c>
      <c r="J58">
        <v>6</v>
      </c>
      <c r="K58">
        <v>1</v>
      </c>
      <c r="M58" t="str">
        <f>VLOOKUP(line_chart_sankey[[#This Row],[team_code]], Sheet2!$F$1:$I$86, 4, FALSE)</f>
        <v>Round of 16</v>
      </c>
      <c r="N58" t="str">
        <f>VLOOKUP(line_chart_sankey[[#This Row],[team_code]], Sheet2!$F$1:$I$86, 2, FALSE)</f>
        <v>Round of 16</v>
      </c>
      <c r="O58" t="str">
        <f>VLOOKUP(line_chart_sankey[[#This Row],[team_code]], Sheet2!$F$1:$I$86, 3, FALSE)</f>
        <v>WC-1934</v>
      </c>
    </row>
    <row r="59" spans="1:15" hidden="1" x14ac:dyDescent="0.25">
      <c r="A59" t="s">
        <v>209</v>
      </c>
      <c r="B59" t="s">
        <v>162</v>
      </c>
      <c r="C59" t="s">
        <v>163</v>
      </c>
      <c r="D59" t="s">
        <v>141</v>
      </c>
      <c r="E59" t="s">
        <v>210</v>
      </c>
      <c r="F59" t="s">
        <v>7</v>
      </c>
      <c r="G59" t="s">
        <v>7</v>
      </c>
      <c r="H59" t="s">
        <v>142</v>
      </c>
      <c r="I59">
        <v>0.87239999999999995</v>
      </c>
      <c r="J59">
        <v>2</v>
      </c>
      <c r="K59">
        <v>0</v>
      </c>
      <c r="M59" t="str">
        <f>VLOOKUP(line_chart_sankey[[#This Row],[team_code]], Sheet2!$F$1:$I$86, 4, FALSE)</f>
        <v>Round of 16</v>
      </c>
      <c r="N59" t="str">
        <f>VLOOKUP(line_chart_sankey[[#This Row],[team_code]], Sheet2!$F$1:$I$86, 2, FALSE)</f>
        <v>Round of 16</v>
      </c>
      <c r="O59" t="str">
        <f>VLOOKUP(line_chart_sankey[[#This Row],[team_code]], Sheet2!$F$1:$I$86, 3, FALSE)</f>
        <v>WC-1934</v>
      </c>
    </row>
    <row r="60" spans="1:15" hidden="1" x14ac:dyDescent="0.25">
      <c r="A60" t="s">
        <v>127</v>
      </c>
      <c r="B60" t="s">
        <v>35</v>
      </c>
      <c r="C60" t="s">
        <v>36</v>
      </c>
      <c r="D60" t="s">
        <v>125</v>
      </c>
      <c r="E60" t="s">
        <v>128</v>
      </c>
      <c r="F60" t="s">
        <v>4</v>
      </c>
      <c r="G60" t="s">
        <v>4</v>
      </c>
      <c r="H60" t="s">
        <v>126</v>
      </c>
      <c r="I60">
        <v>4.9000000000000004</v>
      </c>
      <c r="J60">
        <v>29</v>
      </c>
      <c r="K60">
        <v>1</v>
      </c>
      <c r="M60" t="str">
        <f>VLOOKUP(line_chart_sankey[[#This Row],[team_code]], Sheet2!$F$1:$I$86, 4, FALSE)</f>
        <v>Group Stage</v>
      </c>
      <c r="N60" t="str">
        <f>VLOOKUP(line_chart_sankey[[#This Row],[team_code]], Sheet2!$F$1:$I$86, 2, FALSE)</f>
        <v>Group Stage</v>
      </c>
      <c r="O60" t="str">
        <f>VLOOKUP(line_chart_sankey[[#This Row],[team_code]], Sheet2!$F$1:$I$86, 3, FALSE)</f>
        <v>WC-2006</v>
      </c>
    </row>
    <row r="61" spans="1:15" hidden="1" x14ac:dyDescent="0.25">
      <c r="A61" t="s">
        <v>127</v>
      </c>
      <c r="B61" t="s">
        <v>35</v>
      </c>
      <c r="C61" t="s">
        <v>36</v>
      </c>
      <c r="D61" t="s">
        <v>125</v>
      </c>
      <c r="E61" t="s">
        <v>128</v>
      </c>
      <c r="F61" t="s">
        <v>4</v>
      </c>
      <c r="G61" t="s">
        <v>4</v>
      </c>
      <c r="H61" t="s">
        <v>126</v>
      </c>
      <c r="I61">
        <v>3.25</v>
      </c>
      <c r="J61">
        <v>5</v>
      </c>
      <c r="K61">
        <v>0</v>
      </c>
      <c r="M61" t="str">
        <f>VLOOKUP(line_chart_sankey[[#This Row],[team_code]], Sheet2!$F$1:$I$86, 4, FALSE)</f>
        <v>Group Stage</v>
      </c>
      <c r="N61" t="str">
        <f>VLOOKUP(line_chart_sankey[[#This Row],[team_code]], Sheet2!$F$1:$I$86, 2, FALSE)</f>
        <v>Group Stage</v>
      </c>
      <c r="O61" t="str">
        <f>VLOOKUP(line_chart_sankey[[#This Row],[team_code]], Sheet2!$F$1:$I$86, 3, FALSE)</f>
        <v>WC-2006</v>
      </c>
    </row>
    <row r="62" spans="1:15" hidden="1" x14ac:dyDescent="0.25">
      <c r="A62" t="s">
        <v>34</v>
      </c>
      <c r="B62" t="s">
        <v>35</v>
      </c>
      <c r="C62" t="s">
        <v>36</v>
      </c>
      <c r="D62" t="s">
        <v>37</v>
      </c>
      <c r="E62" t="s">
        <v>38</v>
      </c>
      <c r="F62" t="s">
        <v>4</v>
      </c>
      <c r="G62" t="s">
        <v>4</v>
      </c>
      <c r="H62" t="s">
        <v>39</v>
      </c>
      <c r="I62">
        <v>5.7</v>
      </c>
      <c r="J62">
        <v>30</v>
      </c>
      <c r="K62">
        <v>1</v>
      </c>
      <c r="M62" t="str">
        <f>VLOOKUP(line_chart_sankey[[#This Row],[team_code]], Sheet2!$F$1:$I$86, 4, FALSE)</f>
        <v>Group Stage</v>
      </c>
      <c r="N62" t="str">
        <f>VLOOKUP(line_chart_sankey[[#This Row],[team_code]], Sheet2!$F$1:$I$86, 2, FALSE)</f>
        <v>Group Stage</v>
      </c>
      <c r="O62" t="str">
        <f>VLOOKUP(line_chart_sankey[[#This Row],[team_code]], Sheet2!$F$1:$I$86, 3, FALSE)</f>
        <v>WC-1958</v>
      </c>
    </row>
    <row r="63" spans="1:15" hidden="1" x14ac:dyDescent="0.25">
      <c r="A63" t="s">
        <v>34</v>
      </c>
      <c r="B63" t="s">
        <v>35</v>
      </c>
      <c r="C63" t="s">
        <v>36</v>
      </c>
      <c r="D63" t="s">
        <v>37</v>
      </c>
      <c r="E63" t="s">
        <v>38</v>
      </c>
      <c r="F63" t="s">
        <v>4</v>
      </c>
      <c r="G63" t="s">
        <v>4</v>
      </c>
      <c r="H63" t="s">
        <v>39</v>
      </c>
      <c r="I63">
        <v>3.75</v>
      </c>
      <c r="J63">
        <v>4</v>
      </c>
      <c r="K63">
        <v>0</v>
      </c>
      <c r="M63" t="str">
        <f>VLOOKUP(line_chart_sankey[[#This Row],[team_code]], Sheet2!$F$1:$I$86, 4, FALSE)</f>
        <v>Group Stage</v>
      </c>
      <c r="N63" t="str">
        <f>VLOOKUP(line_chart_sankey[[#This Row],[team_code]], Sheet2!$F$1:$I$86, 2, FALSE)</f>
        <v>Group Stage</v>
      </c>
      <c r="O63" t="str">
        <f>VLOOKUP(line_chart_sankey[[#This Row],[team_code]], Sheet2!$F$1:$I$86, 3, FALSE)</f>
        <v>WC-1958</v>
      </c>
    </row>
    <row r="64" spans="1:15" hidden="1" x14ac:dyDescent="0.25">
      <c r="A64" t="s">
        <v>105</v>
      </c>
      <c r="B64" t="s">
        <v>35</v>
      </c>
      <c r="C64" t="s">
        <v>36</v>
      </c>
      <c r="D64" t="s">
        <v>78</v>
      </c>
      <c r="E64" t="s">
        <v>106</v>
      </c>
      <c r="F64" t="s">
        <v>4</v>
      </c>
      <c r="G64" t="s">
        <v>4</v>
      </c>
      <c r="H64" t="s">
        <v>79</v>
      </c>
      <c r="I64">
        <v>6.6</v>
      </c>
      <c r="J64">
        <v>31</v>
      </c>
      <c r="K64">
        <v>1</v>
      </c>
      <c r="M64" t="str">
        <f>VLOOKUP(line_chart_sankey[[#This Row],[team_code]], Sheet2!$F$1:$I$86, 4, FALSE)</f>
        <v>Group Stage</v>
      </c>
      <c r="N64" t="str">
        <f>VLOOKUP(line_chart_sankey[[#This Row],[team_code]], Sheet2!$F$1:$I$86, 2, FALSE)</f>
        <v>Group Stage</v>
      </c>
      <c r="O64" t="str">
        <f>VLOOKUP(line_chart_sankey[[#This Row],[team_code]], Sheet2!$F$1:$I$86, 3, FALSE)</f>
        <v>WC-2010</v>
      </c>
    </row>
    <row r="65" spans="1:15" hidden="1" x14ac:dyDescent="0.25">
      <c r="A65" t="s">
        <v>105</v>
      </c>
      <c r="B65" t="s">
        <v>35</v>
      </c>
      <c r="C65" t="s">
        <v>36</v>
      </c>
      <c r="D65" t="s">
        <v>78</v>
      </c>
      <c r="E65" t="s">
        <v>106</v>
      </c>
      <c r="F65" t="s">
        <v>4</v>
      </c>
      <c r="G65" t="s">
        <v>4</v>
      </c>
      <c r="H65" t="s">
        <v>79</v>
      </c>
      <c r="I65">
        <v>4.25</v>
      </c>
      <c r="J65">
        <v>0</v>
      </c>
      <c r="K65">
        <v>0</v>
      </c>
      <c r="M65" t="str">
        <f>VLOOKUP(line_chart_sankey[[#This Row],[team_code]], Sheet2!$F$1:$I$86, 4, FALSE)</f>
        <v>Group Stage</v>
      </c>
      <c r="N65" t="str">
        <f>VLOOKUP(line_chart_sankey[[#This Row],[team_code]], Sheet2!$F$1:$I$86, 2, FALSE)</f>
        <v>Group Stage</v>
      </c>
      <c r="O65" t="str">
        <f>VLOOKUP(line_chart_sankey[[#This Row],[team_code]], Sheet2!$F$1:$I$86, 3, FALSE)</f>
        <v>WC-2010</v>
      </c>
    </row>
    <row r="66" spans="1:15" hidden="1" x14ac:dyDescent="0.25">
      <c r="A66" t="s">
        <v>181</v>
      </c>
      <c r="B66" t="s">
        <v>162</v>
      </c>
      <c r="C66" t="s">
        <v>163</v>
      </c>
      <c r="D66" t="s">
        <v>78</v>
      </c>
      <c r="E66" t="s">
        <v>182</v>
      </c>
      <c r="F66" t="s">
        <v>263</v>
      </c>
      <c r="G66" t="s">
        <v>263</v>
      </c>
      <c r="H66" t="s">
        <v>79</v>
      </c>
      <c r="I66">
        <v>2.8450000000000002</v>
      </c>
      <c r="J66">
        <v>7</v>
      </c>
      <c r="K66">
        <v>1</v>
      </c>
      <c r="M66" t="str">
        <f>VLOOKUP(line_chart_sankey[[#This Row],[team_code]], Sheet2!$F$1:$I$86, 4, FALSE)</f>
        <v>Quarter-Finals</v>
      </c>
      <c r="N66" t="str">
        <f>VLOOKUP(line_chart_sankey[[#This Row],[team_code]], Sheet2!$F$1:$I$86, 2, FALSE)</f>
        <v>Quarter-Finals</v>
      </c>
      <c r="O66" t="str">
        <f>VLOOKUP(line_chart_sankey[[#This Row],[team_code]], Sheet2!$F$1:$I$86, 3, FALSE)</f>
        <v>WC-2010</v>
      </c>
    </row>
    <row r="67" spans="1:15" hidden="1" x14ac:dyDescent="0.25">
      <c r="A67" t="s">
        <v>181</v>
      </c>
      <c r="B67" t="s">
        <v>162</v>
      </c>
      <c r="C67" t="s">
        <v>163</v>
      </c>
      <c r="D67" t="s">
        <v>78</v>
      </c>
      <c r="E67" t="s">
        <v>182</v>
      </c>
      <c r="F67" t="s">
        <v>263</v>
      </c>
      <c r="G67" t="s">
        <v>263</v>
      </c>
      <c r="H67" t="s">
        <v>79</v>
      </c>
      <c r="I67">
        <v>1.4550000000000001</v>
      </c>
      <c r="J67">
        <v>3</v>
      </c>
      <c r="K67">
        <v>0</v>
      </c>
      <c r="M67" t="str">
        <f>VLOOKUP(line_chart_sankey[[#This Row],[team_code]], Sheet2!$F$1:$I$86, 4, FALSE)</f>
        <v>Quarter-Finals</v>
      </c>
      <c r="N67" t="str">
        <f>VLOOKUP(line_chart_sankey[[#This Row],[team_code]], Sheet2!$F$1:$I$86, 2, FALSE)</f>
        <v>Quarter-Finals</v>
      </c>
      <c r="O67" t="str">
        <f>VLOOKUP(line_chart_sankey[[#This Row],[team_code]], Sheet2!$F$1:$I$86, 3, FALSE)</f>
        <v>WC-2010</v>
      </c>
    </row>
    <row r="68" spans="1:15" hidden="1" x14ac:dyDescent="0.25">
      <c r="A68" t="s">
        <v>101</v>
      </c>
      <c r="B68" t="s">
        <v>35</v>
      </c>
      <c r="C68" t="s">
        <v>36</v>
      </c>
      <c r="D68" t="s">
        <v>78</v>
      </c>
      <c r="E68" t="s">
        <v>102</v>
      </c>
      <c r="F68" t="s">
        <v>4</v>
      </c>
      <c r="G68" t="s">
        <v>4</v>
      </c>
      <c r="H68" t="s">
        <v>79</v>
      </c>
      <c r="I68">
        <v>7.3</v>
      </c>
      <c r="J68">
        <v>34</v>
      </c>
      <c r="K68">
        <v>1</v>
      </c>
      <c r="M68" t="str">
        <f>VLOOKUP(line_chart_sankey[[#This Row],[team_code]], Sheet2!$F$1:$I$86, 4, FALSE)</f>
        <v>Group Stage</v>
      </c>
      <c r="N68" t="str">
        <f>VLOOKUP(line_chart_sankey[[#This Row],[team_code]], Sheet2!$F$1:$I$86, 2, FALSE)</f>
        <v>Group Stage</v>
      </c>
      <c r="O68" t="str">
        <f>VLOOKUP(line_chart_sankey[[#This Row],[team_code]], Sheet2!$F$1:$I$86, 3, FALSE)</f>
        <v>WC-2010</v>
      </c>
    </row>
    <row r="69" spans="1:15" hidden="1" x14ac:dyDescent="0.25">
      <c r="A69" t="s">
        <v>101</v>
      </c>
      <c r="B69" t="s">
        <v>35</v>
      </c>
      <c r="C69" t="s">
        <v>36</v>
      </c>
      <c r="D69" t="s">
        <v>78</v>
      </c>
      <c r="E69" t="s">
        <v>102</v>
      </c>
      <c r="F69" t="s">
        <v>4</v>
      </c>
      <c r="G69" t="s">
        <v>4</v>
      </c>
      <c r="H69" t="s">
        <v>79</v>
      </c>
      <c r="I69">
        <v>4.75</v>
      </c>
      <c r="J69">
        <v>3</v>
      </c>
      <c r="K69">
        <v>0</v>
      </c>
      <c r="M69" t="str">
        <f>VLOOKUP(line_chart_sankey[[#This Row],[team_code]], Sheet2!$F$1:$I$86, 4, FALSE)</f>
        <v>Group Stage</v>
      </c>
      <c r="N69" t="str">
        <f>VLOOKUP(line_chart_sankey[[#This Row],[team_code]], Sheet2!$F$1:$I$86, 2, FALSE)</f>
        <v>Group Stage</v>
      </c>
      <c r="O69" t="str">
        <f>VLOOKUP(line_chart_sankey[[#This Row],[team_code]], Sheet2!$F$1:$I$86, 3, FALSE)</f>
        <v>WC-2010</v>
      </c>
    </row>
    <row r="70" spans="1:15" hidden="1" x14ac:dyDescent="0.25">
      <c r="A70" t="s">
        <v>218</v>
      </c>
      <c r="B70" t="s">
        <v>188</v>
      </c>
      <c r="C70" t="s">
        <v>171</v>
      </c>
      <c r="D70" t="s">
        <v>63</v>
      </c>
      <c r="E70" t="s">
        <v>219</v>
      </c>
      <c r="F70" t="s">
        <v>4</v>
      </c>
      <c r="G70" t="s">
        <v>4</v>
      </c>
      <c r="H70" t="s">
        <v>65</v>
      </c>
      <c r="I70">
        <v>0.61</v>
      </c>
      <c r="J70">
        <v>4</v>
      </c>
      <c r="K70">
        <v>1</v>
      </c>
      <c r="M70" t="str">
        <f>VLOOKUP(line_chart_sankey[[#This Row],[team_code]], Sheet2!$F$1:$I$86, 4, FALSE)</f>
        <v>Group Stage</v>
      </c>
      <c r="N70" t="str">
        <f>VLOOKUP(line_chart_sankey[[#This Row],[team_code]], Sheet2!$F$1:$I$86, 2, FALSE)</f>
        <v>Group Stage</v>
      </c>
      <c r="O70" t="str">
        <f>VLOOKUP(line_chart_sankey[[#This Row],[team_code]], Sheet2!$F$1:$I$86, 3, FALSE)</f>
        <v>WC-1982</v>
      </c>
    </row>
    <row r="71" spans="1:15" hidden="1" x14ac:dyDescent="0.25">
      <c r="A71" t="s">
        <v>218</v>
      </c>
      <c r="B71" t="s">
        <v>188</v>
      </c>
      <c r="C71" t="s">
        <v>171</v>
      </c>
      <c r="D71" t="s">
        <v>63</v>
      </c>
      <c r="E71" t="s">
        <v>219</v>
      </c>
      <c r="F71" t="s">
        <v>4</v>
      </c>
      <c r="G71" t="s">
        <v>4</v>
      </c>
      <c r="H71" t="s">
        <v>65</v>
      </c>
      <c r="I71">
        <v>0.315</v>
      </c>
      <c r="J71">
        <v>2</v>
      </c>
      <c r="K71">
        <v>0</v>
      </c>
      <c r="M71" t="str">
        <f>VLOOKUP(line_chart_sankey[[#This Row],[team_code]], Sheet2!$F$1:$I$86, 4, FALSE)</f>
        <v>Group Stage</v>
      </c>
      <c r="N71" t="str">
        <f>VLOOKUP(line_chart_sankey[[#This Row],[team_code]], Sheet2!$F$1:$I$86, 2, FALSE)</f>
        <v>Group Stage</v>
      </c>
      <c r="O71" t="str">
        <f>VLOOKUP(line_chart_sankey[[#This Row],[team_code]], Sheet2!$F$1:$I$86, 3, FALSE)</f>
        <v>WC-1982</v>
      </c>
    </row>
    <row r="72" spans="1:15" hidden="1" x14ac:dyDescent="0.25">
      <c r="A72" t="s">
        <v>103</v>
      </c>
      <c r="B72" t="s">
        <v>35</v>
      </c>
      <c r="C72" t="s">
        <v>36</v>
      </c>
      <c r="D72" t="s">
        <v>268</v>
      </c>
      <c r="E72" t="s">
        <v>104</v>
      </c>
      <c r="F72" t="s">
        <v>263</v>
      </c>
      <c r="G72" t="s">
        <v>263</v>
      </c>
      <c r="H72" t="s">
        <v>79</v>
      </c>
      <c r="I72">
        <v>10.25</v>
      </c>
      <c r="J72">
        <v>5</v>
      </c>
      <c r="K72">
        <v>1</v>
      </c>
      <c r="M72" t="str">
        <f>VLOOKUP(line_chart_sankey[[#This Row],[team_code]], Sheet2!$F$1:$I$86, 4, FALSE)</f>
        <v>Quarter-Finals</v>
      </c>
      <c r="N72" t="str">
        <f>VLOOKUP(line_chart_sankey[[#This Row],[team_code]], Sheet2!$F$1:$I$86, 2, FALSE)</f>
        <v>Quarter-Finals</v>
      </c>
      <c r="O72" t="str">
        <f>VLOOKUP(line_chart_sankey[[#This Row],[team_code]], Sheet2!$F$1:$I$86, 3, FALSE)</f>
        <v>WC-1954</v>
      </c>
    </row>
    <row r="73" spans="1:15" hidden="1" x14ac:dyDescent="0.25">
      <c r="A73" t="s">
        <v>103</v>
      </c>
      <c r="B73" t="s">
        <v>35</v>
      </c>
      <c r="C73" t="s">
        <v>36</v>
      </c>
      <c r="D73" t="s">
        <v>268</v>
      </c>
      <c r="E73" t="s">
        <v>104</v>
      </c>
      <c r="F73" t="s">
        <v>263</v>
      </c>
      <c r="G73" t="s">
        <v>263</v>
      </c>
      <c r="H73" t="s">
        <v>79</v>
      </c>
      <c r="I73">
        <v>10.361000000000001</v>
      </c>
      <c r="J73">
        <v>0</v>
      </c>
      <c r="K73">
        <v>0</v>
      </c>
      <c r="M73" t="str">
        <f>VLOOKUP(line_chart_sankey[[#This Row],[team_code]], Sheet2!$F$1:$I$86, 4, FALSE)</f>
        <v>Quarter-Finals</v>
      </c>
      <c r="N73" t="str">
        <f>VLOOKUP(line_chart_sankey[[#This Row],[team_code]], Sheet2!$F$1:$I$86, 2, FALSE)</f>
        <v>Quarter-Finals</v>
      </c>
      <c r="O73" t="str">
        <f>VLOOKUP(line_chart_sankey[[#This Row],[team_code]], Sheet2!$F$1:$I$86, 3, FALSE)</f>
        <v>WC-1954</v>
      </c>
    </row>
    <row r="74" spans="1:15" hidden="1" x14ac:dyDescent="0.25">
      <c r="A74" t="s">
        <v>231</v>
      </c>
      <c r="B74" t="s">
        <v>207</v>
      </c>
      <c r="C74" t="s">
        <v>171</v>
      </c>
      <c r="D74" t="s">
        <v>53</v>
      </c>
      <c r="E74" t="s">
        <v>232</v>
      </c>
      <c r="F74" t="s">
        <v>4</v>
      </c>
      <c r="G74" t="s">
        <v>4</v>
      </c>
      <c r="H74" t="s">
        <v>55</v>
      </c>
      <c r="I74">
        <v>0.88500000000000001</v>
      </c>
      <c r="J74">
        <v>5</v>
      </c>
      <c r="K74">
        <v>1</v>
      </c>
      <c r="M74" t="str">
        <f>VLOOKUP(line_chart_sankey[[#This Row],[team_code]], Sheet2!$F$1:$I$86, 4, FALSE)</f>
        <v>Group Stage</v>
      </c>
      <c r="N74" t="str">
        <f>VLOOKUP(line_chart_sankey[[#This Row],[team_code]], Sheet2!$F$1:$I$86, 2, FALSE)</f>
        <v>Group Stage</v>
      </c>
      <c r="O74" t="str">
        <f>VLOOKUP(line_chart_sankey[[#This Row],[team_code]], Sheet2!$F$1:$I$86, 3, FALSE)</f>
        <v>WC-1974</v>
      </c>
    </row>
    <row r="75" spans="1:15" hidden="1" x14ac:dyDescent="0.25">
      <c r="A75" t="s">
        <v>231</v>
      </c>
      <c r="B75" t="s">
        <v>207</v>
      </c>
      <c r="C75" t="s">
        <v>171</v>
      </c>
      <c r="D75" t="s">
        <v>53</v>
      </c>
      <c r="E75" t="s">
        <v>232</v>
      </c>
      <c r="F75" t="s">
        <v>4</v>
      </c>
      <c r="G75" t="s">
        <v>4</v>
      </c>
      <c r="H75" t="s">
        <v>55</v>
      </c>
      <c r="I75">
        <v>0.38250000000000001</v>
      </c>
      <c r="J75">
        <v>0</v>
      </c>
      <c r="K75">
        <v>0</v>
      </c>
      <c r="M75" t="str">
        <f>VLOOKUP(line_chart_sankey[[#This Row],[team_code]], Sheet2!$F$1:$I$86, 4, FALSE)</f>
        <v>Group Stage</v>
      </c>
      <c r="N75" t="str">
        <f>VLOOKUP(line_chart_sankey[[#This Row],[team_code]], Sheet2!$F$1:$I$86, 2, FALSE)</f>
        <v>Group Stage</v>
      </c>
      <c r="O75" t="str">
        <f>VLOOKUP(line_chart_sankey[[#This Row],[team_code]], Sheet2!$F$1:$I$86, 3, FALSE)</f>
        <v>WC-1974</v>
      </c>
    </row>
    <row r="76" spans="1:15" hidden="1" x14ac:dyDescent="0.25">
      <c r="A76" t="s">
        <v>111</v>
      </c>
      <c r="B76" t="s">
        <v>35</v>
      </c>
      <c r="C76" t="s">
        <v>36</v>
      </c>
      <c r="D76" t="s">
        <v>75</v>
      </c>
      <c r="E76" t="s">
        <v>112</v>
      </c>
      <c r="F76" t="s">
        <v>263</v>
      </c>
      <c r="G76" t="s">
        <v>263</v>
      </c>
      <c r="H76" t="s">
        <v>79</v>
      </c>
      <c r="I76">
        <v>11.1</v>
      </c>
      <c r="J76">
        <v>11</v>
      </c>
      <c r="K76">
        <v>1</v>
      </c>
      <c r="M76" t="str">
        <f>VLOOKUP(line_chart_sankey[[#This Row],[team_code]], Sheet2!$F$1:$I$86, 4, FALSE)</f>
        <v>Quarter-Finals</v>
      </c>
      <c r="N76" t="str">
        <f>VLOOKUP(line_chart_sankey[[#This Row],[team_code]], Sheet2!$F$1:$I$86, 2, FALSE)</f>
        <v>Quarter-Finals</v>
      </c>
      <c r="O76" t="str">
        <f>VLOOKUP(line_chart_sankey[[#This Row],[team_code]], Sheet2!$F$1:$I$86, 3, FALSE)</f>
        <v>WC-1998</v>
      </c>
    </row>
    <row r="77" spans="1:15" hidden="1" x14ac:dyDescent="0.25">
      <c r="A77" t="s">
        <v>111</v>
      </c>
      <c r="B77" t="s">
        <v>35</v>
      </c>
      <c r="C77" t="s">
        <v>36</v>
      </c>
      <c r="D77" t="s">
        <v>75</v>
      </c>
      <c r="E77" t="s">
        <v>112</v>
      </c>
      <c r="F77" t="s">
        <v>263</v>
      </c>
      <c r="G77" t="s">
        <v>263</v>
      </c>
      <c r="H77" t="s">
        <v>79</v>
      </c>
      <c r="I77">
        <v>10.972</v>
      </c>
      <c r="J77">
        <v>2</v>
      </c>
      <c r="K77">
        <v>0</v>
      </c>
      <c r="M77" t="str">
        <f>VLOOKUP(line_chart_sankey[[#This Row],[team_code]], Sheet2!$F$1:$I$86, 4, FALSE)</f>
        <v>Quarter-Finals</v>
      </c>
      <c r="N77" t="str">
        <f>VLOOKUP(line_chart_sankey[[#This Row],[team_code]], Sheet2!$F$1:$I$86, 2, FALSE)</f>
        <v>Quarter-Finals</v>
      </c>
      <c r="O77" t="str">
        <f>VLOOKUP(line_chart_sankey[[#This Row],[team_code]], Sheet2!$F$1:$I$86, 3, FALSE)</f>
        <v>WC-1998</v>
      </c>
    </row>
    <row r="78" spans="1:15" hidden="1" x14ac:dyDescent="0.25">
      <c r="A78" t="s">
        <v>235</v>
      </c>
      <c r="B78" t="s">
        <v>191</v>
      </c>
      <c r="C78" t="s">
        <v>153</v>
      </c>
      <c r="D78" t="s">
        <v>72</v>
      </c>
      <c r="E78" t="s">
        <v>236</v>
      </c>
      <c r="F78" t="s">
        <v>4</v>
      </c>
      <c r="G78" t="s">
        <v>4</v>
      </c>
      <c r="H78" t="s">
        <v>73</v>
      </c>
      <c r="I78">
        <v>1.02</v>
      </c>
      <c r="J78">
        <v>6</v>
      </c>
      <c r="K78">
        <v>1</v>
      </c>
      <c r="M78" t="str">
        <f>VLOOKUP(line_chart_sankey[[#This Row],[team_code]], Sheet2!$F$1:$I$86, 4, FALSE)</f>
        <v>Group Stage</v>
      </c>
      <c r="N78" t="str">
        <f>VLOOKUP(line_chart_sankey[[#This Row],[team_code]], Sheet2!$F$1:$I$86, 2, FALSE)</f>
        <v>Group Stage</v>
      </c>
      <c r="O78" t="str">
        <f>VLOOKUP(line_chart_sankey[[#This Row],[team_code]], Sheet2!$F$1:$I$86, 3, FALSE)</f>
        <v>WC-1986</v>
      </c>
    </row>
    <row r="79" spans="1:15" hidden="1" x14ac:dyDescent="0.25">
      <c r="A79" t="s">
        <v>235</v>
      </c>
      <c r="B79" t="s">
        <v>191</v>
      </c>
      <c r="C79" t="s">
        <v>153</v>
      </c>
      <c r="D79" t="s">
        <v>72</v>
      </c>
      <c r="E79" t="s">
        <v>236</v>
      </c>
      <c r="F79" t="s">
        <v>4</v>
      </c>
      <c r="G79" t="s">
        <v>4</v>
      </c>
      <c r="H79" t="s">
        <v>73</v>
      </c>
      <c r="I79" s="1">
        <v>0.47420000000000001</v>
      </c>
      <c r="J79">
        <v>6</v>
      </c>
      <c r="K79" s="1">
        <v>0</v>
      </c>
      <c r="M79" t="str">
        <f>VLOOKUP(line_chart_sankey[[#This Row],[team_code]], Sheet2!$F$1:$I$86, 4, FALSE)</f>
        <v>Group Stage</v>
      </c>
      <c r="N79" t="str">
        <f>VLOOKUP(line_chart_sankey[[#This Row],[team_code]], Sheet2!$F$1:$I$86, 2, FALSE)</f>
        <v>Group Stage</v>
      </c>
      <c r="O79" t="str">
        <f>VLOOKUP(line_chart_sankey[[#This Row],[team_code]], Sheet2!$F$1:$I$86, 3, FALSE)</f>
        <v>WC-1986</v>
      </c>
    </row>
    <row r="80" spans="1:15" hidden="1" x14ac:dyDescent="0.25">
      <c r="A80" t="s">
        <v>132</v>
      </c>
      <c r="B80" t="s">
        <v>35</v>
      </c>
      <c r="C80" t="s">
        <v>36</v>
      </c>
      <c r="D80" t="s">
        <v>107</v>
      </c>
      <c r="E80" t="s">
        <v>133</v>
      </c>
      <c r="F80" t="s">
        <v>263</v>
      </c>
      <c r="G80" t="s">
        <v>263</v>
      </c>
      <c r="H80" t="s">
        <v>108</v>
      </c>
      <c r="I80">
        <v>11.9</v>
      </c>
      <c r="J80">
        <v>18</v>
      </c>
      <c r="K80">
        <v>1</v>
      </c>
      <c r="M80" t="str">
        <f>VLOOKUP(line_chart_sankey[[#This Row],[team_code]], Sheet2!$F$1:$I$86, 4, FALSE)</f>
        <v>Quarter-Finals</v>
      </c>
      <c r="N80" t="str">
        <f>VLOOKUP(line_chart_sankey[[#This Row],[team_code]], Sheet2!$F$1:$I$86, 2, FALSE)</f>
        <v>Quarter-Finals</v>
      </c>
      <c r="O80" t="str">
        <f>VLOOKUP(line_chart_sankey[[#This Row],[team_code]], Sheet2!$F$1:$I$86, 3, FALSE)</f>
        <v>WC-1990</v>
      </c>
    </row>
    <row r="81" spans="1:15" hidden="1" x14ac:dyDescent="0.25">
      <c r="A81" t="s">
        <v>132</v>
      </c>
      <c r="B81" t="s">
        <v>35</v>
      </c>
      <c r="C81" t="s">
        <v>36</v>
      </c>
      <c r="D81" t="s">
        <v>107</v>
      </c>
      <c r="E81" t="s">
        <v>133</v>
      </c>
      <c r="F81" t="s">
        <v>263</v>
      </c>
      <c r="G81" t="s">
        <v>263</v>
      </c>
      <c r="H81" t="s">
        <v>108</v>
      </c>
      <c r="I81">
        <v>11.583</v>
      </c>
      <c r="J81">
        <v>3</v>
      </c>
      <c r="K81">
        <v>0</v>
      </c>
      <c r="M81" t="str">
        <f>VLOOKUP(line_chart_sankey[[#This Row],[team_code]], Sheet2!$F$1:$I$86, 4, FALSE)</f>
        <v>Quarter-Finals</v>
      </c>
      <c r="N81" t="str">
        <f>VLOOKUP(line_chart_sankey[[#This Row],[team_code]], Sheet2!$F$1:$I$86, 2, FALSE)</f>
        <v>Quarter-Finals</v>
      </c>
      <c r="O81" t="str">
        <f>VLOOKUP(line_chart_sankey[[#This Row],[team_code]], Sheet2!$F$1:$I$86, 3, FALSE)</f>
        <v>WC-1990</v>
      </c>
    </row>
    <row r="82" spans="1:15" hidden="1" x14ac:dyDescent="0.25">
      <c r="A82" t="s">
        <v>220</v>
      </c>
      <c r="B82" t="s">
        <v>191</v>
      </c>
      <c r="C82" t="s">
        <v>153</v>
      </c>
      <c r="D82" t="s">
        <v>63</v>
      </c>
      <c r="E82" t="s">
        <v>221</v>
      </c>
      <c r="F82" t="s">
        <v>4</v>
      </c>
      <c r="G82" t="s">
        <v>4</v>
      </c>
      <c r="H82" t="s">
        <v>65</v>
      </c>
      <c r="I82">
        <v>1.2649999999999999</v>
      </c>
      <c r="J82">
        <v>9</v>
      </c>
      <c r="K82">
        <v>1</v>
      </c>
      <c r="M82" t="str">
        <f>VLOOKUP(line_chart_sankey[[#This Row],[team_code]], Sheet2!$F$1:$I$86, 4, FALSE)</f>
        <v>Group Stage</v>
      </c>
      <c r="N82" t="str">
        <f>VLOOKUP(line_chart_sankey[[#This Row],[team_code]], Sheet2!$F$1:$I$86, 2, FALSE)</f>
        <v>Group Stage</v>
      </c>
      <c r="O82" t="str">
        <f>VLOOKUP(line_chart_sankey[[#This Row],[team_code]], Sheet2!$F$1:$I$86, 3, FALSE)</f>
        <v>WC-1982</v>
      </c>
    </row>
    <row r="83" spans="1:15" hidden="1" x14ac:dyDescent="0.25">
      <c r="A83" s="1" t="s">
        <v>220</v>
      </c>
      <c r="B83" s="1" t="s">
        <v>191</v>
      </c>
      <c r="C83" s="1" t="s">
        <v>153</v>
      </c>
      <c r="D83" s="1" t="s">
        <v>63</v>
      </c>
      <c r="E83" s="1" t="s">
        <v>221</v>
      </c>
      <c r="F83" s="1" t="s">
        <v>4</v>
      </c>
      <c r="G83" s="1" t="s">
        <v>4</v>
      </c>
      <c r="H83" s="1" t="s">
        <v>65</v>
      </c>
      <c r="I83" s="1">
        <v>0.55279999999999996</v>
      </c>
      <c r="J83">
        <v>9</v>
      </c>
      <c r="K83">
        <v>0</v>
      </c>
      <c r="M83" t="str">
        <f>VLOOKUP(line_chart_sankey[[#This Row],[team_code]], Sheet2!$F$1:$I$86, 4, FALSE)</f>
        <v>Group Stage</v>
      </c>
      <c r="N83" t="str">
        <f>VLOOKUP(line_chart_sankey[[#This Row],[team_code]], Sheet2!$F$1:$I$86, 2, FALSE)</f>
        <v>Group Stage</v>
      </c>
      <c r="O83" t="str">
        <f>VLOOKUP(line_chart_sankey[[#This Row],[team_code]], Sheet2!$F$1:$I$86, 3, FALSE)</f>
        <v>WC-1982</v>
      </c>
    </row>
    <row r="84" spans="1:15" hidden="1" x14ac:dyDescent="0.25">
      <c r="A84" t="s">
        <v>249</v>
      </c>
      <c r="B84" t="s">
        <v>191</v>
      </c>
      <c r="C84" t="s">
        <v>153</v>
      </c>
      <c r="D84" t="s">
        <v>85</v>
      </c>
      <c r="E84" t="s">
        <v>250</v>
      </c>
      <c r="F84" t="s">
        <v>4</v>
      </c>
      <c r="G84" t="s">
        <v>4</v>
      </c>
      <c r="H84" t="s">
        <v>87</v>
      </c>
      <c r="I84">
        <v>1.49</v>
      </c>
      <c r="J84">
        <v>11</v>
      </c>
      <c r="K84">
        <v>1</v>
      </c>
      <c r="M84" t="str">
        <f>VLOOKUP(line_chart_sankey[[#This Row],[team_code]], Sheet2!$F$1:$I$86, 4, FALSE)</f>
        <v>Group Stage</v>
      </c>
      <c r="N84" t="str">
        <f>VLOOKUP(line_chart_sankey[[#This Row],[team_code]], Sheet2!$F$1:$I$86, 2, FALSE)</f>
        <v>Group Stage</v>
      </c>
      <c r="O84" t="str">
        <f>VLOOKUP(line_chart_sankey[[#This Row],[team_code]], Sheet2!$F$1:$I$86, 3, FALSE)</f>
        <v>WC-2022</v>
      </c>
    </row>
    <row r="85" spans="1:15" hidden="1" x14ac:dyDescent="0.25">
      <c r="A85" t="s">
        <v>249</v>
      </c>
      <c r="B85" t="s">
        <v>191</v>
      </c>
      <c r="C85" t="s">
        <v>153</v>
      </c>
      <c r="D85" t="s">
        <v>85</v>
      </c>
      <c r="E85" t="s">
        <v>250</v>
      </c>
      <c r="F85" t="s">
        <v>4</v>
      </c>
      <c r="G85" t="s">
        <v>4</v>
      </c>
      <c r="H85" t="s">
        <v>87</v>
      </c>
      <c r="I85" s="1">
        <v>0.63139999999999996</v>
      </c>
      <c r="J85">
        <v>11</v>
      </c>
      <c r="K85">
        <v>0</v>
      </c>
      <c r="M85" t="str">
        <f>VLOOKUP(line_chart_sankey[[#This Row],[team_code]], Sheet2!$F$1:$I$86, 4, FALSE)</f>
        <v>Group Stage</v>
      </c>
      <c r="N85" t="str">
        <f>VLOOKUP(line_chart_sankey[[#This Row],[team_code]], Sheet2!$F$1:$I$86, 2, FALSE)</f>
        <v>Group Stage</v>
      </c>
      <c r="O85" t="str">
        <f>VLOOKUP(line_chart_sankey[[#This Row],[team_code]], Sheet2!$F$1:$I$86, 3, FALSE)</f>
        <v>WC-2022</v>
      </c>
    </row>
    <row r="86" spans="1:15" hidden="1" x14ac:dyDescent="0.25">
      <c r="A86" t="s">
        <v>68</v>
      </c>
      <c r="B86" t="s">
        <v>35</v>
      </c>
      <c r="C86" t="s">
        <v>36</v>
      </c>
      <c r="D86" t="s">
        <v>37</v>
      </c>
      <c r="E86" t="s">
        <v>69</v>
      </c>
      <c r="F86" t="s">
        <v>263</v>
      </c>
      <c r="G86" t="s">
        <v>263</v>
      </c>
      <c r="H86" t="s">
        <v>65</v>
      </c>
      <c r="I86">
        <v>12.7</v>
      </c>
      <c r="J86">
        <v>22</v>
      </c>
      <c r="K86">
        <v>1</v>
      </c>
      <c r="M86" t="str">
        <f>VLOOKUP(line_chart_sankey[[#This Row],[team_code]], Sheet2!$F$1:$I$86, 4, FALSE)</f>
        <v>Quarter-Finals</v>
      </c>
      <c r="N86" t="str">
        <f>VLOOKUP(line_chart_sankey[[#This Row],[team_code]], Sheet2!$F$1:$I$86, 2, FALSE)</f>
        <v>Quarter-Finals</v>
      </c>
      <c r="O86" t="str">
        <f>VLOOKUP(line_chart_sankey[[#This Row],[team_code]], Sheet2!$F$1:$I$86, 3, FALSE)</f>
        <v>WC-1958</v>
      </c>
    </row>
    <row r="87" spans="1:15" hidden="1" x14ac:dyDescent="0.25">
      <c r="A87" t="s">
        <v>68</v>
      </c>
      <c r="B87" t="s">
        <v>35</v>
      </c>
      <c r="C87" t="s">
        <v>36</v>
      </c>
      <c r="D87" t="s">
        <v>37</v>
      </c>
      <c r="E87" t="s">
        <v>69</v>
      </c>
      <c r="F87" t="s">
        <v>263</v>
      </c>
      <c r="G87" t="s">
        <v>263</v>
      </c>
      <c r="H87" t="s">
        <v>65</v>
      </c>
      <c r="I87">
        <v>12.194000000000001</v>
      </c>
      <c r="J87">
        <v>1</v>
      </c>
      <c r="K87">
        <v>0</v>
      </c>
      <c r="M87" t="str">
        <f>VLOOKUP(line_chart_sankey[[#This Row],[team_code]], Sheet2!$F$1:$I$86, 4, FALSE)</f>
        <v>Quarter-Finals</v>
      </c>
      <c r="N87" t="str">
        <f>VLOOKUP(line_chart_sankey[[#This Row],[team_code]], Sheet2!$F$1:$I$86, 2, FALSE)</f>
        <v>Quarter-Finals</v>
      </c>
      <c r="O87" t="str">
        <f>VLOOKUP(line_chart_sankey[[#This Row],[team_code]], Sheet2!$F$1:$I$86, 3, FALSE)</f>
        <v>WC-1958</v>
      </c>
    </row>
    <row r="88" spans="1:15" hidden="1" x14ac:dyDescent="0.25">
      <c r="A88" t="s">
        <v>121</v>
      </c>
      <c r="B88" t="s">
        <v>35</v>
      </c>
      <c r="C88" t="s">
        <v>36</v>
      </c>
      <c r="D88" t="s">
        <v>98</v>
      </c>
      <c r="E88" t="s">
        <v>122</v>
      </c>
      <c r="F88" t="s">
        <v>263</v>
      </c>
      <c r="G88" t="s">
        <v>263</v>
      </c>
      <c r="H88" t="s">
        <v>120</v>
      </c>
      <c r="I88">
        <v>13.5</v>
      </c>
      <c r="J88">
        <v>27</v>
      </c>
      <c r="K88">
        <v>1</v>
      </c>
      <c r="M88" t="str">
        <f>VLOOKUP(line_chart_sankey[[#This Row],[team_code]], Sheet2!$F$1:$I$86, 4, FALSE)</f>
        <v>Quarter-Finals</v>
      </c>
      <c r="N88" t="str">
        <f>VLOOKUP(line_chart_sankey[[#This Row],[team_code]], Sheet2!$F$1:$I$86, 2, FALSE)</f>
        <v>Quarter-Finals</v>
      </c>
      <c r="O88" t="str">
        <f>VLOOKUP(line_chart_sankey[[#This Row],[team_code]], Sheet2!$F$1:$I$86, 3, FALSE)</f>
        <v>WC-1994</v>
      </c>
    </row>
    <row r="89" spans="1:15" hidden="1" x14ac:dyDescent="0.25">
      <c r="A89" t="s">
        <v>121</v>
      </c>
      <c r="B89" t="s">
        <v>35</v>
      </c>
      <c r="C89" t="s">
        <v>36</v>
      </c>
      <c r="D89" t="s">
        <v>98</v>
      </c>
      <c r="E89" t="s">
        <v>122</v>
      </c>
      <c r="F89" t="s">
        <v>263</v>
      </c>
      <c r="G89" t="s">
        <v>263</v>
      </c>
      <c r="H89" t="s">
        <v>120</v>
      </c>
      <c r="I89">
        <v>12.805</v>
      </c>
      <c r="J89">
        <v>5</v>
      </c>
      <c r="K89">
        <v>0</v>
      </c>
      <c r="M89" t="str">
        <f>VLOOKUP(line_chart_sankey[[#This Row],[team_code]], Sheet2!$F$1:$I$86, 4, FALSE)</f>
        <v>Quarter-Finals</v>
      </c>
      <c r="N89" t="str">
        <f>VLOOKUP(line_chart_sankey[[#This Row],[team_code]], Sheet2!$F$1:$I$86, 2, FALSE)</f>
        <v>Quarter-Finals</v>
      </c>
      <c r="O89" t="str">
        <f>VLOOKUP(line_chart_sankey[[#This Row],[team_code]], Sheet2!$F$1:$I$86, 3, FALSE)</f>
        <v>WC-1994</v>
      </c>
    </row>
    <row r="90" spans="1:15" hidden="1" x14ac:dyDescent="0.25">
      <c r="A90" t="s">
        <v>204</v>
      </c>
      <c r="B90" t="s">
        <v>149</v>
      </c>
      <c r="C90" t="s">
        <v>36</v>
      </c>
      <c r="D90" t="s">
        <v>81</v>
      </c>
      <c r="E90" t="s">
        <v>205</v>
      </c>
      <c r="F90" t="s">
        <v>263</v>
      </c>
      <c r="G90" t="s">
        <v>263</v>
      </c>
      <c r="H90" t="s">
        <v>83</v>
      </c>
      <c r="I90">
        <v>14.25</v>
      </c>
      <c r="J90">
        <v>28</v>
      </c>
      <c r="K90">
        <v>1</v>
      </c>
      <c r="M90" t="str">
        <f>VLOOKUP(line_chart_sankey[[#This Row],[team_code]], Sheet2!$F$1:$I$86, 4, FALSE)</f>
        <v>Quarter-Finals</v>
      </c>
      <c r="N90" t="str">
        <f>VLOOKUP(line_chart_sankey[[#This Row],[team_code]], Sheet2!$F$1:$I$86, 2, FALSE)</f>
        <v>Quarter-Finals</v>
      </c>
      <c r="O90" t="str">
        <f>VLOOKUP(line_chart_sankey[[#This Row],[team_code]], Sheet2!$F$1:$I$86, 3, FALSE)</f>
        <v>WC-2018</v>
      </c>
    </row>
    <row r="91" spans="1:15" hidden="1" x14ac:dyDescent="0.25">
      <c r="A91" t="s">
        <v>204</v>
      </c>
      <c r="B91" t="s">
        <v>149</v>
      </c>
      <c r="C91" t="s">
        <v>36</v>
      </c>
      <c r="D91" t="s">
        <v>81</v>
      </c>
      <c r="E91" t="s">
        <v>205</v>
      </c>
      <c r="F91" t="s">
        <v>263</v>
      </c>
      <c r="G91" t="s">
        <v>263</v>
      </c>
      <c r="H91" t="s">
        <v>83</v>
      </c>
      <c r="I91">
        <v>13.416</v>
      </c>
      <c r="J91">
        <v>5</v>
      </c>
      <c r="K91">
        <v>0</v>
      </c>
      <c r="M91" t="str">
        <f>VLOOKUP(line_chart_sankey[[#This Row],[team_code]], Sheet2!$F$1:$I$86, 4, FALSE)</f>
        <v>Quarter-Finals</v>
      </c>
      <c r="N91" t="str">
        <f>VLOOKUP(line_chart_sankey[[#This Row],[team_code]], Sheet2!$F$1:$I$86, 2, FALSE)</f>
        <v>Quarter-Finals</v>
      </c>
      <c r="O91" t="str">
        <f>VLOOKUP(line_chart_sankey[[#This Row],[team_code]], Sheet2!$F$1:$I$86, 3, FALSE)</f>
        <v>WC-2018</v>
      </c>
    </row>
    <row r="92" spans="1:15" hidden="1" x14ac:dyDescent="0.25">
      <c r="A92" t="s">
        <v>241</v>
      </c>
      <c r="B92" t="s">
        <v>207</v>
      </c>
      <c r="C92" t="s">
        <v>171</v>
      </c>
      <c r="D92" t="s">
        <v>75</v>
      </c>
      <c r="E92" t="s">
        <v>242</v>
      </c>
      <c r="F92" t="s">
        <v>4</v>
      </c>
      <c r="G92" t="s">
        <v>4</v>
      </c>
      <c r="H92" t="s">
        <v>77</v>
      </c>
      <c r="I92">
        <v>1.1599999999999999</v>
      </c>
      <c r="J92">
        <v>6</v>
      </c>
      <c r="K92">
        <v>1</v>
      </c>
      <c r="M92" t="str">
        <f>VLOOKUP(line_chart_sankey[[#This Row],[team_code]], Sheet2!$F$1:$I$86, 4, FALSE)</f>
        <v>Group Stage</v>
      </c>
      <c r="N92" t="str">
        <f>VLOOKUP(line_chart_sankey[[#This Row],[team_code]], Sheet2!$F$1:$I$86, 2, FALSE)</f>
        <v>Group Stage</v>
      </c>
      <c r="O92" t="str">
        <f>VLOOKUP(line_chart_sankey[[#This Row],[team_code]], Sheet2!$F$1:$I$86, 3, FALSE)</f>
        <v>WC-1998</v>
      </c>
    </row>
    <row r="93" spans="1:15" hidden="1" x14ac:dyDescent="0.25">
      <c r="A93" t="s">
        <v>241</v>
      </c>
      <c r="B93" t="s">
        <v>207</v>
      </c>
      <c r="C93" t="s">
        <v>171</v>
      </c>
      <c r="D93" t="s">
        <v>75</v>
      </c>
      <c r="E93" t="s">
        <v>242</v>
      </c>
      <c r="F93" t="s">
        <v>4</v>
      </c>
      <c r="G93" t="s">
        <v>4</v>
      </c>
      <c r="H93" t="s">
        <v>77</v>
      </c>
      <c r="I93">
        <v>0.45</v>
      </c>
      <c r="J93">
        <v>0</v>
      </c>
      <c r="K93">
        <v>0</v>
      </c>
      <c r="M93" t="str">
        <f>VLOOKUP(line_chart_sankey[[#This Row],[team_code]], Sheet2!$F$1:$I$86, 4, FALSE)</f>
        <v>Group Stage</v>
      </c>
      <c r="N93" t="str">
        <f>VLOOKUP(line_chart_sankey[[#This Row],[team_code]], Sheet2!$F$1:$I$86, 2, FALSE)</f>
        <v>Group Stage</v>
      </c>
      <c r="O93" t="str">
        <f>VLOOKUP(line_chart_sankey[[#This Row],[team_code]], Sheet2!$F$1:$I$86, 3, FALSE)</f>
        <v>WC-1998</v>
      </c>
    </row>
    <row r="94" spans="1:15" hidden="1" x14ac:dyDescent="0.25">
      <c r="A94" t="s">
        <v>167</v>
      </c>
      <c r="B94" t="s">
        <v>152</v>
      </c>
      <c r="C94" t="s">
        <v>153</v>
      </c>
      <c r="D94" t="s">
        <v>43</v>
      </c>
      <c r="E94" t="s">
        <v>168</v>
      </c>
      <c r="F94" t="s">
        <v>263</v>
      </c>
      <c r="G94" t="s">
        <v>263</v>
      </c>
      <c r="H94" t="s">
        <v>45</v>
      </c>
      <c r="I94">
        <v>2.67</v>
      </c>
      <c r="J94">
        <v>10</v>
      </c>
      <c r="K94">
        <v>1</v>
      </c>
      <c r="M94" t="str">
        <f>VLOOKUP(line_chart_sankey[[#This Row],[team_code]], Sheet2!$F$1:$I$86, 4, FALSE)</f>
        <v>Quarter-Finals</v>
      </c>
      <c r="N94" t="str">
        <f>VLOOKUP(line_chart_sankey[[#This Row],[team_code]], Sheet2!$F$1:$I$86, 2, FALSE)</f>
        <v>Quarter-Finals</v>
      </c>
      <c r="O94" t="str">
        <f>VLOOKUP(line_chart_sankey[[#This Row],[team_code]], Sheet2!$F$1:$I$86, 3, FALSE)</f>
        <v>WC-1966</v>
      </c>
    </row>
    <row r="95" spans="1:15" hidden="1" x14ac:dyDescent="0.25">
      <c r="A95" t="s">
        <v>167</v>
      </c>
      <c r="B95" t="s">
        <v>152</v>
      </c>
      <c r="C95" t="s">
        <v>153</v>
      </c>
      <c r="D95" t="s">
        <v>43</v>
      </c>
      <c r="E95" t="s">
        <v>168</v>
      </c>
      <c r="F95" t="s">
        <v>263</v>
      </c>
      <c r="G95" t="s">
        <v>263</v>
      </c>
      <c r="H95" t="s">
        <v>45</v>
      </c>
      <c r="I95" s="1">
        <v>1.35</v>
      </c>
      <c r="J95" s="1">
        <v>10</v>
      </c>
      <c r="K95" s="1">
        <v>0</v>
      </c>
      <c r="M95" t="str">
        <f>VLOOKUP(line_chart_sankey[[#This Row],[team_code]], Sheet2!$F$1:$I$86, 4, FALSE)</f>
        <v>Quarter-Finals</v>
      </c>
      <c r="N95" t="str">
        <f>VLOOKUP(line_chart_sankey[[#This Row],[team_code]], Sheet2!$F$1:$I$86, 2, FALSE)</f>
        <v>Quarter-Finals</v>
      </c>
      <c r="O95" t="str">
        <f>VLOOKUP(line_chart_sankey[[#This Row],[team_code]], Sheet2!$F$1:$I$86, 3, FALSE)</f>
        <v>WC-1966</v>
      </c>
    </row>
    <row r="96" spans="1:15" hidden="1" x14ac:dyDescent="0.25">
      <c r="A96" t="s">
        <v>197</v>
      </c>
      <c r="B96" t="s">
        <v>198</v>
      </c>
      <c r="C96" t="s">
        <v>153</v>
      </c>
      <c r="D96" t="s">
        <v>85</v>
      </c>
      <c r="E96" t="s">
        <v>199</v>
      </c>
      <c r="F96" t="s">
        <v>7</v>
      </c>
      <c r="G96" t="s">
        <v>7</v>
      </c>
      <c r="H96" t="s">
        <v>87</v>
      </c>
      <c r="I96">
        <v>1.72</v>
      </c>
      <c r="J96">
        <v>2</v>
      </c>
      <c r="K96">
        <v>1</v>
      </c>
      <c r="M96" t="str">
        <f>VLOOKUP(line_chart_sankey[[#This Row],[team_code]], Sheet2!$F$1:$I$86, 4, FALSE)</f>
        <v>Round of 16</v>
      </c>
      <c r="N96" t="str">
        <f>VLOOKUP(line_chart_sankey[[#This Row],[team_code]], Sheet2!$F$1:$I$86, 2, FALSE)</f>
        <v>Round of 16</v>
      </c>
      <c r="O96" t="str">
        <f>VLOOKUP(line_chart_sankey[[#This Row],[team_code]], Sheet2!$F$1:$I$86, 3, FALSE)</f>
        <v>WC-2022</v>
      </c>
    </row>
    <row r="97" spans="1:15" hidden="1" x14ac:dyDescent="0.25">
      <c r="A97" t="s">
        <v>197</v>
      </c>
      <c r="B97" t="s">
        <v>198</v>
      </c>
      <c r="C97" t="s">
        <v>153</v>
      </c>
      <c r="D97" t="s">
        <v>85</v>
      </c>
      <c r="E97" t="s">
        <v>199</v>
      </c>
      <c r="F97" t="s">
        <v>7</v>
      </c>
      <c r="G97" t="s">
        <v>7</v>
      </c>
      <c r="H97" t="s">
        <v>87</v>
      </c>
      <c r="I97" s="1">
        <v>0.73799999999999999</v>
      </c>
      <c r="J97">
        <v>2</v>
      </c>
      <c r="K97" s="1">
        <v>0</v>
      </c>
      <c r="M97" t="str">
        <f>VLOOKUP(line_chart_sankey[[#This Row],[team_code]], Sheet2!$F$1:$I$86, 4, FALSE)</f>
        <v>Round of 16</v>
      </c>
      <c r="N97" t="str">
        <f>VLOOKUP(line_chart_sankey[[#This Row],[team_code]], Sheet2!$F$1:$I$86, 2, FALSE)</f>
        <v>Round of 16</v>
      </c>
      <c r="O97" t="str">
        <f>VLOOKUP(line_chart_sankey[[#This Row],[team_code]], Sheet2!$F$1:$I$86, 3, FALSE)</f>
        <v>WC-2022</v>
      </c>
    </row>
    <row r="98" spans="1:15" hidden="1" x14ac:dyDescent="0.25">
      <c r="A98" t="s">
        <v>211</v>
      </c>
      <c r="B98" t="s">
        <v>212</v>
      </c>
      <c r="C98" t="s">
        <v>153</v>
      </c>
      <c r="D98" t="s">
        <v>143</v>
      </c>
      <c r="E98" t="s">
        <v>213</v>
      </c>
      <c r="F98" t="s">
        <v>7</v>
      </c>
      <c r="G98" t="s">
        <v>7</v>
      </c>
      <c r="H98" t="s">
        <v>144</v>
      </c>
      <c r="I98">
        <v>1.95</v>
      </c>
      <c r="J98">
        <v>4</v>
      </c>
      <c r="K98">
        <v>1</v>
      </c>
      <c r="M98" t="str">
        <f>VLOOKUP(line_chart_sankey[[#This Row],[team_code]], Sheet2!$F$1:$I$86, 4, FALSE)</f>
        <v>Round of 16</v>
      </c>
      <c r="N98" t="str">
        <f>VLOOKUP(line_chart_sankey[[#This Row],[team_code]], Sheet2!$F$1:$I$86, 2, FALSE)</f>
        <v>Round of 16</v>
      </c>
      <c r="O98" t="str">
        <f>VLOOKUP(line_chart_sankey[[#This Row],[team_code]], Sheet2!$F$1:$I$86, 3, FALSE)</f>
        <v>WC-1938</v>
      </c>
    </row>
    <row r="99" spans="1:15" hidden="1" x14ac:dyDescent="0.25">
      <c r="A99" s="1" t="s">
        <v>211</v>
      </c>
      <c r="B99" s="1" t="s">
        <v>212</v>
      </c>
      <c r="C99" s="1" t="s">
        <v>153</v>
      </c>
      <c r="D99" s="1" t="s">
        <v>143</v>
      </c>
      <c r="E99" s="1" t="s">
        <v>213</v>
      </c>
      <c r="F99" s="1" t="s">
        <v>7</v>
      </c>
      <c r="G99" s="1" t="s">
        <v>7</v>
      </c>
      <c r="H99" s="1" t="s">
        <v>144</v>
      </c>
      <c r="I99" s="1">
        <v>0.84599999999999997</v>
      </c>
      <c r="J99" s="1">
        <v>4</v>
      </c>
      <c r="K99">
        <v>0</v>
      </c>
      <c r="M99" t="str">
        <f>VLOOKUP(line_chart_sankey[[#This Row],[team_code]], Sheet2!$F$1:$I$86, 4, FALSE)</f>
        <v>Round of 16</v>
      </c>
      <c r="N99" t="str">
        <f>VLOOKUP(line_chart_sankey[[#This Row],[team_code]], Sheet2!$F$1:$I$86, 2, FALSE)</f>
        <v>Round of 16</v>
      </c>
      <c r="O99" t="str">
        <f>VLOOKUP(line_chart_sankey[[#This Row],[team_code]], Sheet2!$F$1:$I$86, 3, FALSE)</f>
        <v>WC-1938</v>
      </c>
    </row>
    <row r="100" spans="1:15" hidden="1" x14ac:dyDescent="0.25">
      <c r="A100" t="s">
        <v>161</v>
      </c>
      <c r="B100" t="s">
        <v>162</v>
      </c>
      <c r="C100" t="s">
        <v>163</v>
      </c>
      <c r="D100" t="s">
        <v>85</v>
      </c>
      <c r="E100" t="s">
        <v>164</v>
      </c>
      <c r="F100" t="s">
        <v>140</v>
      </c>
      <c r="G100" t="s">
        <v>271</v>
      </c>
      <c r="H100" t="s">
        <v>87</v>
      </c>
      <c r="I100">
        <v>3.3849999999999998</v>
      </c>
      <c r="J100">
        <v>8</v>
      </c>
      <c r="K100">
        <v>1</v>
      </c>
      <c r="M100" t="str">
        <f>VLOOKUP(line_chart_sankey[[#This Row],[team_code]], Sheet2!$F$1:$I$86, 4, FALSE)</f>
        <v>Semi-Finals</v>
      </c>
      <c r="N100" t="str">
        <f>VLOOKUP(line_chart_sankey[[#This Row],[team_code]], Sheet2!$F$1:$I$86, 2, FALSE)</f>
        <v>4th Place</v>
      </c>
      <c r="O100" t="str">
        <f>VLOOKUP(line_chart_sankey[[#This Row],[team_code]], Sheet2!$F$1:$I$86, 3, FALSE)</f>
        <v>WC-2022</v>
      </c>
    </row>
    <row r="101" spans="1:15" hidden="1" x14ac:dyDescent="0.25">
      <c r="A101" t="s">
        <v>161</v>
      </c>
      <c r="B101" t="s">
        <v>162</v>
      </c>
      <c r="C101" t="s">
        <v>163</v>
      </c>
      <c r="D101" t="s">
        <v>85</v>
      </c>
      <c r="E101" t="s">
        <v>164</v>
      </c>
      <c r="F101" t="s">
        <v>140</v>
      </c>
      <c r="G101" t="s">
        <v>271</v>
      </c>
      <c r="H101" t="s">
        <v>87</v>
      </c>
      <c r="I101">
        <v>2.0299999999999998</v>
      </c>
      <c r="J101">
        <v>2</v>
      </c>
      <c r="K101">
        <v>0</v>
      </c>
      <c r="M101" t="str">
        <f>VLOOKUP(line_chart_sankey[[#This Row],[team_code]], Sheet2!$F$1:$I$86, 4, FALSE)</f>
        <v>Semi-Finals</v>
      </c>
      <c r="N101" t="str">
        <f>VLOOKUP(line_chart_sankey[[#This Row],[team_code]], Sheet2!$F$1:$I$86, 2, FALSE)</f>
        <v>4th Place</v>
      </c>
      <c r="O101" t="str">
        <f>VLOOKUP(line_chart_sankey[[#This Row],[team_code]], Sheet2!$F$1:$I$86, 3, FALSE)</f>
        <v>WC-2022</v>
      </c>
    </row>
    <row r="102" spans="1:15" hidden="1" x14ac:dyDescent="0.25">
      <c r="A102" t="s">
        <v>169</v>
      </c>
      <c r="B102" t="s">
        <v>170</v>
      </c>
      <c r="C102" t="s">
        <v>171</v>
      </c>
      <c r="D102" t="s">
        <v>72</v>
      </c>
      <c r="E102" t="s">
        <v>172</v>
      </c>
      <c r="F102" t="s">
        <v>263</v>
      </c>
      <c r="G102" t="s">
        <v>263</v>
      </c>
      <c r="H102" t="s">
        <v>73</v>
      </c>
      <c r="I102">
        <v>2.82</v>
      </c>
      <c r="J102">
        <v>7</v>
      </c>
      <c r="K102">
        <v>1</v>
      </c>
      <c r="M102" t="str">
        <f>VLOOKUP(line_chart_sankey[[#This Row],[team_code]], Sheet2!$F$1:$I$86, 4, FALSE)</f>
        <v>Quarter-Finals</v>
      </c>
      <c r="N102" t="str">
        <f>VLOOKUP(line_chart_sankey[[#This Row],[team_code]], Sheet2!$F$1:$I$86, 2, FALSE)</f>
        <v>Quarter-Finals</v>
      </c>
      <c r="O102" t="str">
        <f>VLOOKUP(line_chart_sankey[[#This Row],[team_code]], Sheet2!$F$1:$I$86, 3, FALSE)</f>
        <v>WC-1986</v>
      </c>
    </row>
    <row r="103" spans="1:15" hidden="1" x14ac:dyDescent="0.25">
      <c r="A103" t="s">
        <v>169</v>
      </c>
      <c r="B103" t="s">
        <v>170</v>
      </c>
      <c r="C103" t="s">
        <v>171</v>
      </c>
      <c r="D103" t="s">
        <v>72</v>
      </c>
      <c r="E103" t="s">
        <v>172</v>
      </c>
      <c r="F103" t="s">
        <v>263</v>
      </c>
      <c r="G103" t="s">
        <v>263</v>
      </c>
      <c r="H103" t="s">
        <v>73</v>
      </c>
      <c r="I103">
        <v>1.585</v>
      </c>
      <c r="J103">
        <v>0</v>
      </c>
      <c r="K103">
        <v>0</v>
      </c>
      <c r="M103" t="str">
        <f>VLOOKUP(line_chart_sankey[[#This Row],[team_code]], Sheet2!$F$1:$I$86, 4, FALSE)</f>
        <v>Quarter-Finals</v>
      </c>
      <c r="N103" t="str">
        <f>VLOOKUP(line_chart_sankey[[#This Row],[team_code]], Sheet2!$F$1:$I$86, 2, FALSE)</f>
        <v>Quarter-Finals</v>
      </c>
      <c r="O103" t="str">
        <f>VLOOKUP(line_chart_sankey[[#This Row],[team_code]], Sheet2!$F$1:$I$86, 3, FALSE)</f>
        <v>WC-1986</v>
      </c>
    </row>
    <row r="104" spans="1:15" hidden="1" x14ac:dyDescent="0.25">
      <c r="A104" t="s">
        <v>193</v>
      </c>
      <c r="B104" t="s">
        <v>162</v>
      </c>
      <c r="C104" t="s">
        <v>163</v>
      </c>
      <c r="D104" t="s">
        <v>75</v>
      </c>
      <c r="E104" t="s">
        <v>194</v>
      </c>
      <c r="F104" t="s">
        <v>7</v>
      </c>
      <c r="G104" t="s">
        <v>7</v>
      </c>
      <c r="H104" t="s">
        <v>77</v>
      </c>
      <c r="I104">
        <v>2.31</v>
      </c>
      <c r="J104">
        <v>9</v>
      </c>
      <c r="K104">
        <v>1</v>
      </c>
      <c r="M104" t="str">
        <f>VLOOKUP(line_chart_sankey[[#This Row],[team_code]], Sheet2!$F$1:$I$86, 4, FALSE)</f>
        <v>Round of 16</v>
      </c>
      <c r="N104" t="str">
        <f>VLOOKUP(line_chart_sankey[[#This Row],[team_code]], Sheet2!$F$1:$I$86, 2, FALSE)</f>
        <v>Round of 16</v>
      </c>
      <c r="O104" t="str">
        <f>VLOOKUP(line_chart_sankey[[#This Row],[team_code]], Sheet2!$F$1:$I$86, 3, FALSE)</f>
        <v>WC-1998</v>
      </c>
    </row>
    <row r="105" spans="1:15" hidden="1" x14ac:dyDescent="0.25">
      <c r="A105" t="s">
        <v>193</v>
      </c>
      <c r="B105" t="s">
        <v>162</v>
      </c>
      <c r="C105" t="s">
        <v>163</v>
      </c>
      <c r="D105" t="s">
        <v>75</v>
      </c>
      <c r="E105" t="s">
        <v>194</v>
      </c>
      <c r="F105" t="s">
        <v>7</v>
      </c>
      <c r="G105" t="s">
        <v>7</v>
      </c>
      <c r="H105" t="s">
        <v>77</v>
      </c>
      <c r="I105">
        <v>1.0409999999999999</v>
      </c>
      <c r="J105">
        <v>1</v>
      </c>
      <c r="K105">
        <v>0</v>
      </c>
      <c r="M105" t="str">
        <f>VLOOKUP(line_chart_sankey[[#This Row],[team_code]], Sheet2!$F$1:$I$86, 4, FALSE)</f>
        <v>Round of 16</v>
      </c>
      <c r="N105" t="str">
        <f>VLOOKUP(line_chart_sankey[[#This Row],[team_code]], Sheet2!$F$1:$I$86, 2, FALSE)</f>
        <v>Round of 16</v>
      </c>
      <c r="O105" t="str">
        <f>VLOOKUP(line_chart_sankey[[#This Row],[team_code]], Sheet2!$F$1:$I$86, 3, FALSE)</f>
        <v>WC-1998</v>
      </c>
    </row>
    <row r="106" spans="1:15" hidden="1" x14ac:dyDescent="0.25">
      <c r="A106" t="s">
        <v>138</v>
      </c>
      <c r="B106" t="s">
        <v>35</v>
      </c>
      <c r="C106" t="s">
        <v>36</v>
      </c>
      <c r="D106" t="s">
        <v>125</v>
      </c>
      <c r="E106" t="s">
        <v>139</v>
      </c>
      <c r="F106" t="s">
        <v>263</v>
      </c>
      <c r="G106" t="s">
        <v>263</v>
      </c>
      <c r="H106" t="s">
        <v>126</v>
      </c>
      <c r="I106">
        <v>15</v>
      </c>
      <c r="J106">
        <v>37</v>
      </c>
      <c r="K106">
        <v>1</v>
      </c>
      <c r="M106" t="str">
        <f>VLOOKUP(line_chart_sankey[[#This Row],[team_code]], Sheet2!$F$1:$I$86, 4, FALSE)</f>
        <v>Quarter-Finals</v>
      </c>
      <c r="N106" t="str">
        <f>VLOOKUP(line_chart_sankey[[#This Row],[team_code]], Sheet2!$F$1:$I$86, 2, FALSE)</f>
        <v>Quarter-Finals</v>
      </c>
      <c r="O106" t="str">
        <f>VLOOKUP(line_chart_sankey[[#This Row],[team_code]], Sheet2!$F$1:$I$86, 3, FALSE)</f>
        <v>WC-2006</v>
      </c>
    </row>
    <row r="107" spans="1:15" hidden="1" x14ac:dyDescent="0.25">
      <c r="A107" t="s">
        <v>138</v>
      </c>
      <c r="B107" t="s">
        <v>35</v>
      </c>
      <c r="C107" t="s">
        <v>36</v>
      </c>
      <c r="D107" t="s">
        <v>125</v>
      </c>
      <c r="E107" t="s">
        <v>139</v>
      </c>
      <c r="F107" t="s">
        <v>263</v>
      </c>
      <c r="G107" t="s">
        <v>263</v>
      </c>
      <c r="H107" t="s">
        <v>126</v>
      </c>
      <c r="I107">
        <v>14.026999999999999</v>
      </c>
      <c r="J107">
        <v>3</v>
      </c>
      <c r="K107">
        <v>0</v>
      </c>
      <c r="M107" t="str">
        <f>VLOOKUP(line_chart_sankey[[#This Row],[team_code]], Sheet2!$F$1:$I$86, 4, FALSE)</f>
        <v>Quarter-Finals</v>
      </c>
      <c r="N107" t="str">
        <f>VLOOKUP(line_chart_sankey[[#This Row],[team_code]], Sheet2!$F$1:$I$86, 2, FALSE)</f>
        <v>Quarter-Finals</v>
      </c>
      <c r="O107" t="str">
        <f>VLOOKUP(line_chart_sankey[[#This Row],[team_code]], Sheet2!$F$1:$I$86, 3, FALSE)</f>
        <v>WC-2006</v>
      </c>
    </row>
    <row r="108" spans="1:15" hidden="1" x14ac:dyDescent="0.25">
      <c r="A108" t="s">
        <v>84</v>
      </c>
      <c r="B108" t="s">
        <v>35</v>
      </c>
      <c r="C108" t="s">
        <v>36</v>
      </c>
      <c r="D108" t="s">
        <v>37</v>
      </c>
      <c r="E108" t="s">
        <v>86</v>
      </c>
      <c r="F108" t="s">
        <v>263</v>
      </c>
      <c r="G108" t="s">
        <v>263</v>
      </c>
      <c r="H108" t="s">
        <v>87</v>
      </c>
      <c r="I108">
        <v>15.8</v>
      </c>
      <c r="J108">
        <v>38</v>
      </c>
      <c r="K108">
        <v>1</v>
      </c>
      <c r="M108" t="str">
        <f>VLOOKUP(line_chart_sankey[[#This Row],[team_code]], Sheet2!$F$1:$I$86, 4, FALSE)</f>
        <v>Quarter-Finals</v>
      </c>
      <c r="N108" t="str">
        <f>VLOOKUP(line_chart_sankey[[#This Row],[team_code]], Sheet2!$F$1:$I$86, 2, FALSE)</f>
        <v>Quarter-Finals</v>
      </c>
      <c r="O108" t="str">
        <f>VLOOKUP(line_chart_sankey[[#This Row],[team_code]], Sheet2!$F$1:$I$86, 3, FALSE)</f>
        <v>WC-1958</v>
      </c>
    </row>
    <row r="109" spans="1:15" hidden="1" x14ac:dyDescent="0.25">
      <c r="A109" t="s">
        <v>84</v>
      </c>
      <c r="B109" t="s">
        <v>35</v>
      </c>
      <c r="C109" t="s">
        <v>36</v>
      </c>
      <c r="D109" t="s">
        <v>37</v>
      </c>
      <c r="E109" t="s">
        <v>86</v>
      </c>
      <c r="F109" t="s">
        <v>263</v>
      </c>
      <c r="G109" t="s">
        <v>263</v>
      </c>
      <c r="H109" t="s">
        <v>87</v>
      </c>
      <c r="I109">
        <v>14.638</v>
      </c>
      <c r="J109">
        <v>4</v>
      </c>
      <c r="K109">
        <v>0</v>
      </c>
      <c r="M109" t="str">
        <f>VLOOKUP(line_chart_sankey[[#This Row],[team_code]], Sheet2!$F$1:$I$86, 4, FALSE)</f>
        <v>Quarter-Finals</v>
      </c>
      <c r="N109" t="str">
        <f>VLOOKUP(line_chart_sankey[[#This Row],[team_code]], Sheet2!$F$1:$I$86, 2, FALSE)</f>
        <v>Quarter-Finals</v>
      </c>
      <c r="O109" t="str">
        <f>VLOOKUP(line_chart_sankey[[#This Row],[team_code]], Sheet2!$F$1:$I$86, 3, FALSE)</f>
        <v>WC-1958</v>
      </c>
    </row>
    <row r="110" spans="1:15" hidden="1" x14ac:dyDescent="0.25">
      <c r="A110" t="s">
        <v>123</v>
      </c>
      <c r="B110" t="s">
        <v>35</v>
      </c>
      <c r="C110" t="s">
        <v>36</v>
      </c>
      <c r="D110" t="s">
        <v>114</v>
      </c>
      <c r="E110" t="s">
        <v>124</v>
      </c>
      <c r="F110" t="s">
        <v>7</v>
      </c>
      <c r="G110" t="s">
        <v>7</v>
      </c>
      <c r="H110" t="s">
        <v>100</v>
      </c>
      <c r="I110">
        <v>8</v>
      </c>
      <c r="J110">
        <v>15</v>
      </c>
      <c r="K110">
        <v>1</v>
      </c>
      <c r="M110" t="str">
        <f>VLOOKUP(line_chart_sankey[[#This Row],[team_code]], Sheet2!$F$1:$I$86, 4, FALSE)</f>
        <v>Round of 16</v>
      </c>
      <c r="N110" t="str">
        <f>VLOOKUP(line_chart_sankey[[#This Row],[team_code]], Sheet2!$F$1:$I$86, 2, FALSE)</f>
        <v>Round of 16</v>
      </c>
      <c r="O110" t="str">
        <f>VLOOKUP(line_chart_sankey[[#This Row],[team_code]], Sheet2!$F$1:$I$86, 3, FALSE)</f>
        <v>WC-2014</v>
      </c>
    </row>
    <row r="111" spans="1:15" hidden="1" x14ac:dyDescent="0.25">
      <c r="A111" t="s">
        <v>123</v>
      </c>
      <c r="B111" t="s">
        <v>35</v>
      </c>
      <c r="C111" t="s">
        <v>36</v>
      </c>
      <c r="D111" t="s">
        <v>114</v>
      </c>
      <c r="E111" t="s">
        <v>124</v>
      </c>
      <c r="F111" t="s">
        <v>7</v>
      </c>
      <c r="G111" t="s">
        <v>7</v>
      </c>
      <c r="H111" t="s">
        <v>100</v>
      </c>
      <c r="I111">
        <v>6.125</v>
      </c>
      <c r="J111">
        <v>6</v>
      </c>
      <c r="K111">
        <v>0</v>
      </c>
      <c r="M111" t="str">
        <f>VLOOKUP(line_chart_sankey[[#This Row],[team_code]], Sheet2!$F$1:$I$86, 4, FALSE)</f>
        <v>Round of 16</v>
      </c>
      <c r="N111" t="str">
        <f>VLOOKUP(line_chart_sankey[[#This Row],[team_code]], Sheet2!$F$1:$I$86, 2, FALSE)</f>
        <v>Round of 16</v>
      </c>
      <c r="O111" t="str">
        <f>VLOOKUP(line_chart_sankey[[#This Row],[team_code]], Sheet2!$F$1:$I$86, 3, FALSE)</f>
        <v>WC-2014</v>
      </c>
    </row>
    <row r="112" spans="1:15" hidden="1" x14ac:dyDescent="0.25">
      <c r="A112" t="s">
        <v>228</v>
      </c>
      <c r="B112" t="s">
        <v>198</v>
      </c>
      <c r="C112" t="s">
        <v>229</v>
      </c>
      <c r="D112" t="s">
        <v>78</v>
      </c>
      <c r="E112" t="s">
        <v>230</v>
      </c>
      <c r="F112" t="s">
        <v>4</v>
      </c>
      <c r="G112" t="s">
        <v>4</v>
      </c>
      <c r="H112" t="s">
        <v>79</v>
      </c>
      <c r="I112">
        <v>0.09</v>
      </c>
      <c r="J112">
        <v>0.5</v>
      </c>
      <c r="K112">
        <v>1</v>
      </c>
      <c r="M112" t="str">
        <f>VLOOKUP(line_chart_sankey[[#This Row],[team_code]], Sheet2!$F$1:$I$86, 4, FALSE)</f>
        <v>Group Stage</v>
      </c>
      <c r="N112" t="str">
        <f>VLOOKUP(line_chart_sankey[[#This Row],[team_code]], Sheet2!$F$1:$I$86, 2, FALSE)</f>
        <v>Group Stage</v>
      </c>
      <c r="O112" t="str">
        <f>VLOOKUP(line_chart_sankey[[#This Row],[team_code]], Sheet2!$F$1:$I$86, 3, FALSE)</f>
        <v>WC-2010</v>
      </c>
    </row>
    <row r="113" spans="1:15" hidden="1" x14ac:dyDescent="0.25">
      <c r="A113" t="s">
        <v>228</v>
      </c>
      <c r="B113" t="s">
        <v>198</v>
      </c>
      <c r="C113" t="s">
        <v>229</v>
      </c>
      <c r="D113" t="s">
        <v>78</v>
      </c>
      <c r="E113" t="s">
        <v>230</v>
      </c>
      <c r="F113" t="s">
        <v>4</v>
      </c>
      <c r="G113" t="s">
        <v>4</v>
      </c>
      <c r="H113" t="s">
        <v>79</v>
      </c>
      <c r="I113">
        <v>0.05</v>
      </c>
      <c r="J113">
        <v>0.5</v>
      </c>
      <c r="K113">
        <v>1</v>
      </c>
    </row>
    <row r="114" spans="1:15" hidden="1" x14ac:dyDescent="0.25">
      <c r="A114" t="s">
        <v>247</v>
      </c>
      <c r="B114" t="s">
        <v>188</v>
      </c>
      <c r="C114" t="s">
        <v>171</v>
      </c>
      <c r="D114" t="s">
        <v>81</v>
      </c>
      <c r="E114" t="s">
        <v>248</v>
      </c>
      <c r="F114" t="s">
        <v>4</v>
      </c>
      <c r="G114" t="s">
        <v>4</v>
      </c>
      <c r="H114" t="s">
        <v>83</v>
      </c>
      <c r="I114">
        <v>1.44</v>
      </c>
      <c r="J114">
        <v>8</v>
      </c>
      <c r="K114">
        <v>1</v>
      </c>
      <c r="M114" t="str">
        <f>VLOOKUP(line_chart_sankey[[#This Row],[team_code]], Sheet2!$F$1:$I$86, 4, FALSE)</f>
        <v>Group Stage</v>
      </c>
      <c r="N114" t="str">
        <f>VLOOKUP(line_chart_sankey[[#This Row],[team_code]], Sheet2!$F$1:$I$86, 2, FALSE)</f>
        <v>Group Stage</v>
      </c>
      <c r="O114" t="str">
        <f>VLOOKUP(line_chart_sankey[[#This Row],[team_code]], Sheet2!$F$1:$I$86, 3, FALSE)</f>
        <v>WC-2018</v>
      </c>
    </row>
    <row r="115" spans="1:15" hidden="1" x14ac:dyDescent="0.25">
      <c r="A115" t="s">
        <v>247</v>
      </c>
      <c r="B115" t="s">
        <v>188</v>
      </c>
      <c r="C115" t="s">
        <v>171</v>
      </c>
      <c r="D115" t="s">
        <v>81</v>
      </c>
      <c r="E115" t="s">
        <v>248</v>
      </c>
      <c r="F115" t="s">
        <v>4</v>
      </c>
      <c r="G115" t="s">
        <v>4</v>
      </c>
      <c r="H115" t="s">
        <v>83</v>
      </c>
      <c r="I115">
        <v>0.51749999999999996</v>
      </c>
      <c r="J115">
        <v>3</v>
      </c>
      <c r="K115">
        <v>0</v>
      </c>
      <c r="M115" t="str">
        <f>VLOOKUP(line_chart_sankey[[#This Row],[team_code]], Sheet2!$F$1:$I$86, 4, FALSE)</f>
        <v>Group Stage</v>
      </c>
      <c r="N115" t="str">
        <f>VLOOKUP(line_chart_sankey[[#This Row],[team_code]], Sheet2!$F$1:$I$86, 2, FALSE)</f>
        <v>Group Stage</v>
      </c>
      <c r="O115" t="str">
        <f>VLOOKUP(line_chart_sankey[[#This Row],[team_code]], Sheet2!$F$1:$I$86, 3, FALSE)</f>
        <v>WC-2018</v>
      </c>
    </row>
    <row r="116" spans="1:15" hidden="1" x14ac:dyDescent="0.25">
      <c r="A116" t="s">
        <v>200</v>
      </c>
      <c r="B116" t="s">
        <v>145</v>
      </c>
      <c r="C116" t="s">
        <v>146</v>
      </c>
      <c r="D116" t="s">
        <v>47</v>
      </c>
      <c r="E116" t="s">
        <v>201</v>
      </c>
      <c r="F116" t="s">
        <v>263</v>
      </c>
      <c r="G116" t="s">
        <v>263</v>
      </c>
      <c r="H116" t="s">
        <v>49</v>
      </c>
      <c r="I116">
        <v>1.2809999999999999</v>
      </c>
      <c r="J116">
        <v>7</v>
      </c>
      <c r="K116">
        <v>1</v>
      </c>
      <c r="M116" t="str">
        <f>VLOOKUP(line_chart_sankey[[#This Row],[team_code]], Sheet2!$F$1:$I$86, 4, FALSE)</f>
        <v>Quarter-Finals</v>
      </c>
      <c r="N116" t="str">
        <f>VLOOKUP(line_chart_sankey[[#This Row],[team_code]], Sheet2!$F$1:$I$86, 2, FALSE)</f>
        <v>Quarter-Finals</v>
      </c>
      <c r="O116" t="str">
        <f>VLOOKUP(line_chart_sankey[[#This Row],[team_code]], Sheet2!$F$1:$I$86, 3, FALSE)</f>
        <v>WC-1970</v>
      </c>
    </row>
    <row r="117" spans="1:15" hidden="1" x14ac:dyDescent="0.25">
      <c r="A117" t="s">
        <v>200</v>
      </c>
      <c r="B117" t="s">
        <v>145</v>
      </c>
      <c r="C117" t="s">
        <v>146</v>
      </c>
      <c r="D117" t="s">
        <v>47</v>
      </c>
      <c r="E117" t="s">
        <v>201</v>
      </c>
      <c r="F117" t="s">
        <v>263</v>
      </c>
      <c r="G117" t="s">
        <v>263</v>
      </c>
      <c r="H117" t="s">
        <v>49</v>
      </c>
      <c r="I117">
        <v>1.42</v>
      </c>
      <c r="J117">
        <v>4</v>
      </c>
      <c r="K117">
        <v>0</v>
      </c>
      <c r="M117" t="str">
        <f>VLOOKUP(line_chart_sankey[[#This Row],[team_code]], Sheet2!$F$1:$I$86, 4, FALSE)</f>
        <v>Quarter-Finals</v>
      </c>
      <c r="N117" t="str">
        <f>VLOOKUP(line_chart_sankey[[#This Row],[team_code]], Sheet2!$F$1:$I$86, 2, FALSE)</f>
        <v>Quarter-Finals</v>
      </c>
      <c r="O117" t="str">
        <f>VLOOKUP(line_chart_sankey[[#This Row],[team_code]], Sheet2!$F$1:$I$86, 3, FALSE)</f>
        <v>WC-1970</v>
      </c>
    </row>
    <row r="118" spans="1:15" hidden="1" x14ac:dyDescent="0.25">
      <c r="A118" t="s">
        <v>97</v>
      </c>
      <c r="B118" t="s">
        <v>35</v>
      </c>
      <c r="C118" t="s">
        <v>36</v>
      </c>
      <c r="D118" t="s">
        <v>75</v>
      </c>
      <c r="E118" t="s">
        <v>99</v>
      </c>
      <c r="F118" t="s">
        <v>7</v>
      </c>
      <c r="G118" t="s">
        <v>7</v>
      </c>
      <c r="H118" t="s">
        <v>100</v>
      </c>
      <c r="I118">
        <v>8.75</v>
      </c>
      <c r="J118">
        <v>24</v>
      </c>
      <c r="K118">
        <v>1</v>
      </c>
      <c r="M118" t="str">
        <f>VLOOKUP(line_chart_sankey[[#This Row],[team_code]], Sheet2!$F$1:$I$86, 4, FALSE)</f>
        <v>Round of 16</v>
      </c>
      <c r="N118" t="str">
        <f>VLOOKUP(line_chart_sankey[[#This Row],[team_code]], Sheet2!$F$1:$I$86, 2, FALSE)</f>
        <v>Round of 16</v>
      </c>
      <c r="O118" t="str">
        <f>VLOOKUP(line_chart_sankey[[#This Row],[team_code]], Sheet2!$F$1:$I$86, 3, FALSE)</f>
        <v>WC-1998</v>
      </c>
    </row>
    <row r="119" spans="1:15" hidden="1" x14ac:dyDescent="0.25">
      <c r="A119" t="s">
        <v>97</v>
      </c>
      <c r="B119" t="s">
        <v>35</v>
      </c>
      <c r="C119" t="s">
        <v>36</v>
      </c>
      <c r="D119" t="s">
        <v>75</v>
      </c>
      <c r="E119" t="s">
        <v>99</v>
      </c>
      <c r="F119" t="s">
        <v>7</v>
      </c>
      <c r="G119" t="s">
        <v>7</v>
      </c>
      <c r="H119" t="s">
        <v>100</v>
      </c>
      <c r="I119">
        <v>7.5</v>
      </c>
      <c r="J119">
        <v>0</v>
      </c>
      <c r="K119">
        <v>0</v>
      </c>
      <c r="M119" t="str">
        <f>VLOOKUP(line_chart_sankey[[#This Row],[team_code]], Sheet2!$F$1:$I$86, 4, FALSE)</f>
        <v>Round of 16</v>
      </c>
      <c r="N119" t="str">
        <f>VLOOKUP(line_chart_sankey[[#This Row],[team_code]], Sheet2!$F$1:$I$86, 2, FALSE)</f>
        <v>Round of 16</v>
      </c>
      <c r="O119" t="str">
        <f>VLOOKUP(line_chart_sankey[[#This Row],[team_code]], Sheet2!$F$1:$I$86, 3, FALSE)</f>
        <v>WC-1998</v>
      </c>
    </row>
    <row r="120" spans="1:15" hidden="1" x14ac:dyDescent="0.25">
      <c r="A120" t="s">
        <v>195</v>
      </c>
      <c r="B120" t="s">
        <v>152</v>
      </c>
      <c r="C120" t="s">
        <v>153</v>
      </c>
      <c r="D120" t="s">
        <v>109</v>
      </c>
      <c r="E120" t="s">
        <v>196</v>
      </c>
      <c r="F120" t="s">
        <v>7</v>
      </c>
      <c r="G120" t="s">
        <v>7</v>
      </c>
      <c r="H120" t="s">
        <v>110</v>
      </c>
      <c r="I120">
        <v>2.2000000000000002</v>
      </c>
      <c r="J120">
        <v>7</v>
      </c>
      <c r="K120">
        <v>1</v>
      </c>
      <c r="M120" t="str">
        <f>VLOOKUP(line_chart_sankey[[#This Row],[team_code]], Sheet2!$F$1:$I$86, 4, FALSE)</f>
        <v>Round of 16</v>
      </c>
      <c r="N120" t="str">
        <f>VLOOKUP(line_chart_sankey[[#This Row],[team_code]], Sheet2!$F$1:$I$86, 2, FALSE)</f>
        <v>Round of 16</v>
      </c>
      <c r="O120" t="str">
        <f>VLOOKUP(line_chart_sankey[[#This Row],[team_code]], Sheet2!$F$1:$I$86, 3, FALSE)</f>
        <v>WC-2002</v>
      </c>
    </row>
    <row r="121" spans="1:15" hidden="1" x14ac:dyDescent="0.25">
      <c r="A121" s="1" t="s">
        <v>195</v>
      </c>
      <c r="B121" s="1" t="s">
        <v>152</v>
      </c>
      <c r="C121" s="1" t="s">
        <v>153</v>
      </c>
      <c r="D121" s="1" t="s">
        <v>109</v>
      </c>
      <c r="E121" s="1" t="s">
        <v>196</v>
      </c>
      <c r="F121" s="1" t="s">
        <v>7</v>
      </c>
      <c r="G121" s="1" t="s">
        <v>7</v>
      </c>
      <c r="H121" s="1" t="s">
        <v>110</v>
      </c>
      <c r="I121" s="1">
        <v>0.95399999999999996</v>
      </c>
      <c r="J121" s="1">
        <v>7</v>
      </c>
      <c r="K121">
        <v>0</v>
      </c>
      <c r="M121" t="str">
        <f>VLOOKUP(line_chart_sankey[[#This Row],[team_code]], Sheet2!$F$1:$I$86, 4, FALSE)</f>
        <v>Round of 16</v>
      </c>
      <c r="N121" t="str">
        <f>VLOOKUP(line_chart_sankey[[#This Row],[team_code]], Sheet2!$F$1:$I$86, 2, FALSE)</f>
        <v>Round of 16</v>
      </c>
      <c r="O121" t="str">
        <f>VLOOKUP(line_chart_sankey[[#This Row],[team_code]], Sheet2!$F$1:$I$86, 3, FALSE)</f>
        <v>WC-2002</v>
      </c>
    </row>
    <row r="122" spans="1:15" hidden="1" x14ac:dyDescent="0.25">
      <c r="A122" t="s">
        <v>136</v>
      </c>
      <c r="B122" t="s">
        <v>35</v>
      </c>
      <c r="C122" t="s">
        <v>36</v>
      </c>
      <c r="D122" t="s">
        <v>78</v>
      </c>
      <c r="E122" t="s">
        <v>137</v>
      </c>
      <c r="F122" t="s">
        <v>7</v>
      </c>
      <c r="G122" t="s">
        <v>7</v>
      </c>
      <c r="H122" t="s">
        <v>79</v>
      </c>
      <c r="I122">
        <v>9.6</v>
      </c>
      <c r="J122">
        <v>33</v>
      </c>
      <c r="K122">
        <v>1</v>
      </c>
      <c r="M122" t="str">
        <f>VLOOKUP(line_chart_sankey[[#This Row],[team_code]], Sheet2!$F$1:$I$86, 4, FALSE)</f>
        <v>Round of 16</v>
      </c>
      <c r="N122" t="str">
        <f>VLOOKUP(line_chart_sankey[[#This Row],[team_code]], Sheet2!$F$1:$I$86, 2, FALSE)</f>
        <v>Round of 16</v>
      </c>
      <c r="O122" t="str">
        <f>VLOOKUP(line_chart_sankey[[#This Row],[team_code]], Sheet2!$F$1:$I$86, 3, FALSE)</f>
        <v>WC-2010</v>
      </c>
    </row>
    <row r="123" spans="1:15" hidden="1" x14ac:dyDescent="0.25">
      <c r="A123" t="s">
        <v>136</v>
      </c>
      <c r="B123" t="s">
        <v>35</v>
      </c>
      <c r="C123" t="s">
        <v>36</v>
      </c>
      <c r="D123" t="s">
        <v>78</v>
      </c>
      <c r="E123" t="s">
        <v>137</v>
      </c>
      <c r="F123" t="s">
        <v>7</v>
      </c>
      <c r="G123" t="s">
        <v>7</v>
      </c>
      <c r="H123" t="s">
        <v>79</v>
      </c>
      <c r="I123">
        <v>8.875</v>
      </c>
      <c r="J123">
        <v>5</v>
      </c>
      <c r="K123">
        <v>0</v>
      </c>
      <c r="M123" t="str">
        <f>VLOOKUP(line_chart_sankey[[#This Row],[team_code]], Sheet2!$F$1:$I$86, 4, FALSE)</f>
        <v>Round of 16</v>
      </c>
      <c r="N123" t="str">
        <f>VLOOKUP(line_chart_sankey[[#This Row],[team_code]], Sheet2!$F$1:$I$86, 2, FALSE)</f>
        <v>Round of 16</v>
      </c>
      <c r="O123" t="str">
        <f>VLOOKUP(line_chart_sankey[[#This Row],[team_code]], Sheet2!$F$1:$I$86, 3, FALSE)</f>
        <v>WC-2010</v>
      </c>
    </row>
    <row r="124" spans="1:15" hidden="1" x14ac:dyDescent="0.25">
      <c r="A124" t="s">
        <v>173</v>
      </c>
      <c r="B124" t="s">
        <v>145</v>
      </c>
      <c r="C124" t="s">
        <v>146</v>
      </c>
      <c r="D124" t="s">
        <v>78</v>
      </c>
      <c r="E124" t="s">
        <v>174</v>
      </c>
      <c r="F124" t="s">
        <v>263</v>
      </c>
      <c r="G124" t="s">
        <v>263</v>
      </c>
      <c r="H124" t="s">
        <v>73</v>
      </c>
      <c r="I124">
        <v>1.61</v>
      </c>
      <c r="J124">
        <v>8</v>
      </c>
      <c r="K124">
        <v>1</v>
      </c>
      <c r="M124" t="str">
        <f>VLOOKUP(line_chart_sankey[[#This Row],[team_code]], Sheet2!$F$1:$I$86, 4, FALSE)</f>
        <v>Quarter-Finals</v>
      </c>
      <c r="N124" t="str">
        <f>VLOOKUP(line_chart_sankey[[#This Row],[team_code]], Sheet2!$F$1:$I$86, 2, FALSE)</f>
        <v>Quarter-Finals</v>
      </c>
      <c r="O124" t="str">
        <f>VLOOKUP(line_chart_sankey[[#This Row],[team_code]], Sheet2!$F$1:$I$86, 3, FALSE)</f>
        <v>WC-2010</v>
      </c>
    </row>
    <row r="125" spans="1:15" hidden="1" x14ac:dyDescent="0.25">
      <c r="A125" t="s">
        <v>173</v>
      </c>
      <c r="B125" t="s">
        <v>145</v>
      </c>
      <c r="C125" t="s">
        <v>146</v>
      </c>
      <c r="D125" t="s">
        <v>78</v>
      </c>
      <c r="E125" t="s">
        <v>174</v>
      </c>
      <c r="F125" t="s">
        <v>263</v>
      </c>
      <c r="G125" t="s">
        <v>263</v>
      </c>
      <c r="H125" t="s">
        <v>73</v>
      </c>
      <c r="I125">
        <v>1.58</v>
      </c>
      <c r="J125">
        <v>6</v>
      </c>
      <c r="K125">
        <v>0</v>
      </c>
      <c r="M125" t="str">
        <f>VLOOKUP(line_chart_sankey[[#This Row],[team_code]], Sheet2!$F$1:$I$86, 4, FALSE)</f>
        <v>Quarter-Finals</v>
      </c>
      <c r="N125" t="str">
        <f>VLOOKUP(line_chart_sankey[[#This Row],[team_code]], Sheet2!$F$1:$I$86, 2, FALSE)</f>
        <v>Quarter-Finals</v>
      </c>
      <c r="O125" t="str">
        <f>VLOOKUP(line_chart_sankey[[#This Row],[team_code]], Sheet2!$F$1:$I$86, 3, FALSE)</f>
        <v>WC-2010</v>
      </c>
    </row>
    <row r="126" spans="1:15" hidden="1" x14ac:dyDescent="0.25">
      <c r="A126" t="s">
        <v>190</v>
      </c>
      <c r="B126" t="s">
        <v>191</v>
      </c>
      <c r="C126" t="s">
        <v>153</v>
      </c>
      <c r="D126" t="s">
        <v>98</v>
      </c>
      <c r="E126" t="s">
        <v>192</v>
      </c>
      <c r="F126" t="s">
        <v>7</v>
      </c>
      <c r="G126" t="s">
        <v>7</v>
      </c>
      <c r="H126" t="s">
        <v>100</v>
      </c>
      <c r="I126">
        <v>2.44</v>
      </c>
      <c r="J126">
        <v>12</v>
      </c>
      <c r="K126">
        <v>1</v>
      </c>
      <c r="M126" t="str">
        <f>VLOOKUP(line_chart_sankey[[#This Row],[team_code]], Sheet2!$F$1:$I$86, 4, FALSE)</f>
        <v>Round of 16</v>
      </c>
      <c r="N126" t="str">
        <f>VLOOKUP(line_chart_sankey[[#This Row],[team_code]], Sheet2!$F$1:$I$86, 2, FALSE)</f>
        <v>Round of 16</v>
      </c>
      <c r="O126" t="str">
        <f>VLOOKUP(line_chart_sankey[[#This Row],[team_code]], Sheet2!$F$1:$I$86, 3, FALSE)</f>
        <v>WC-1994</v>
      </c>
    </row>
    <row r="127" spans="1:15" hidden="1" x14ac:dyDescent="0.25">
      <c r="A127" s="1" t="s">
        <v>190</v>
      </c>
      <c r="B127" s="1" t="s">
        <v>191</v>
      </c>
      <c r="C127" s="1" t="s">
        <v>153</v>
      </c>
      <c r="D127" s="1" t="s">
        <v>98</v>
      </c>
      <c r="E127" s="1" t="s">
        <v>192</v>
      </c>
      <c r="F127" s="1" t="s">
        <v>7</v>
      </c>
      <c r="G127" s="1" t="s">
        <v>7</v>
      </c>
      <c r="H127" s="1" t="s">
        <v>100</v>
      </c>
      <c r="I127" s="1">
        <v>1.0619000000000001</v>
      </c>
      <c r="J127">
        <v>12</v>
      </c>
      <c r="K127">
        <v>0</v>
      </c>
      <c r="M127" t="str">
        <f>VLOOKUP(line_chart_sankey[[#This Row],[team_code]], Sheet2!$F$1:$I$86, 4, FALSE)</f>
        <v>Round of 16</v>
      </c>
      <c r="N127" t="str">
        <f>VLOOKUP(line_chart_sankey[[#This Row],[team_code]], Sheet2!$F$1:$I$86, 2, FALSE)</f>
        <v>Round of 16</v>
      </c>
      <c r="O127" t="str">
        <f>VLOOKUP(line_chart_sankey[[#This Row],[team_code]], Sheet2!$F$1:$I$86, 3, FALSE)</f>
        <v>WC-1994</v>
      </c>
    </row>
    <row r="128" spans="1:15" hidden="1" x14ac:dyDescent="0.25">
      <c r="A128" t="s">
        <v>74</v>
      </c>
      <c r="B128" t="s">
        <v>35</v>
      </c>
      <c r="C128" t="s">
        <v>36</v>
      </c>
      <c r="D128" t="s">
        <v>268</v>
      </c>
      <c r="E128" t="s">
        <v>76</v>
      </c>
      <c r="F128" t="s">
        <v>140</v>
      </c>
      <c r="G128" t="s">
        <v>272</v>
      </c>
      <c r="H128" t="s">
        <v>77</v>
      </c>
      <c r="I128">
        <v>16.5</v>
      </c>
      <c r="J128">
        <v>1</v>
      </c>
      <c r="K128">
        <v>1</v>
      </c>
      <c r="M128" t="str">
        <f>VLOOKUP(line_chart_sankey[[#This Row],[team_code]], Sheet2!$F$1:$I$86, 4, FALSE)</f>
        <v>Semi-Finals</v>
      </c>
      <c r="N128" t="str">
        <f>VLOOKUP(line_chart_sankey[[#This Row],[team_code]], Sheet2!$F$1:$I$86, 2, FALSE)</f>
        <v>3rd Place</v>
      </c>
      <c r="O128" t="str">
        <f>VLOOKUP(line_chart_sankey[[#This Row],[team_code]], Sheet2!$F$1:$I$86, 3, FALSE)</f>
        <v>WC-1954</v>
      </c>
    </row>
    <row r="129" spans="1:15" hidden="1" x14ac:dyDescent="0.25">
      <c r="A129" t="s">
        <v>74</v>
      </c>
      <c r="B129" t="s">
        <v>35</v>
      </c>
      <c r="C129" t="s">
        <v>36</v>
      </c>
      <c r="D129" t="s">
        <v>268</v>
      </c>
      <c r="E129" t="s">
        <v>76</v>
      </c>
      <c r="F129" t="s">
        <v>140</v>
      </c>
      <c r="G129" t="s">
        <v>272</v>
      </c>
      <c r="H129" t="s">
        <v>77</v>
      </c>
      <c r="I129">
        <v>15.361000000000001</v>
      </c>
      <c r="J129">
        <v>1</v>
      </c>
      <c r="K129">
        <v>0</v>
      </c>
      <c r="M129" t="str">
        <f>VLOOKUP(line_chart_sankey[[#This Row],[team_code]], Sheet2!$F$1:$I$86, 4, FALSE)</f>
        <v>Semi-Finals</v>
      </c>
      <c r="N129" t="str">
        <f>VLOOKUP(line_chart_sankey[[#This Row],[team_code]], Sheet2!$F$1:$I$86, 2, FALSE)</f>
        <v>3rd Place</v>
      </c>
      <c r="O129" t="str">
        <f>VLOOKUP(line_chart_sankey[[#This Row],[team_code]], Sheet2!$F$1:$I$86, 3, FALSE)</f>
        <v>WC-1954</v>
      </c>
    </row>
    <row r="130" spans="1:15" hidden="1" x14ac:dyDescent="0.25">
      <c r="A130" t="s">
        <v>70</v>
      </c>
      <c r="B130" t="s">
        <v>35</v>
      </c>
      <c r="C130" t="s">
        <v>36</v>
      </c>
      <c r="D130" t="s">
        <v>81</v>
      </c>
      <c r="E130" t="s">
        <v>71</v>
      </c>
      <c r="F130" t="s">
        <v>140</v>
      </c>
      <c r="G130" t="s">
        <v>272</v>
      </c>
      <c r="H130" t="s">
        <v>65</v>
      </c>
      <c r="I130">
        <v>17.25</v>
      </c>
      <c r="J130">
        <v>2</v>
      </c>
      <c r="K130">
        <v>1</v>
      </c>
      <c r="M130" t="str">
        <f>VLOOKUP(line_chart_sankey[[#This Row],[team_code]], Sheet2!$F$1:$I$86, 4, FALSE)</f>
        <v>Semi-Finals</v>
      </c>
      <c r="N130" t="str">
        <f>VLOOKUP(line_chart_sankey[[#This Row],[team_code]], Sheet2!$F$1:$I$86, 2, FALSE)</f>
        <v>3rd Place</v>
      </c>
      <c r="O130" t="str">
        <f>VLOOKUP(line_chart_sankey[[#This Row],[team_code]], Sheet2!$F$1:$I$86, 3, FALSE)</f>
        <v>WC-2018</v>
      </c>
    </row>
    <row r="131" spans="1:15" hidden="1" x14ac:dyDescent="0.25">
      <c r="A131" t="s">
        <v>70</v>
      </c>
      <c r="B131" t="s">
        <v>35</v>
      </c>
      <c r="C131" t="s">
        <v>36</v>
      </c>
      <c r="D131" t="s">
        <v>81</v>
      </c>
      <c r="E131" t="s">
        <v>71</v>
      </c>
      <c r="F131" t="s">
        <v>140</v>
      </c>
      <c r="G131" t="s">
        <v>272</v>
      </c>
      <c r="H131" t="s">
        <v>65</v>
      </c>
      <c r="I131">
        <v>15.972</v>
      </c>
      <c r="J131">
        <v>6</v>
      </c>
      <c r="K131">
        <v>0</v>
      </c>
      <c r="M131" t="str">
        <f>VLOOKUP(line_chart_sankey[[#This Row],[team_code]], Sheet2!$F$1:$I$86, 4, FALSE)</f>
        <v>Semi-Finals</v>
      </c>
      <c r="N131" t="str">
        <f>VLOOKUP(line_chart_sankey[[#This Row],[team_code]], Sheet2!$F$1:$I$86, 2, FALSE)</f>
        <v>3rd Place</v>
      </c>
      <c r="O131" t="str">
        <f>VLOOKUP(line_chart_sankey[[#This Row],[team_code]], Sheet2!$F$1:$I$86, 3, FALSE)</f>
        <v>WC-2018</v>
      </c>
    </row>
    <row r="132" spans="1:15" hidden="1" x14ac:dyDescent="0.25">
      <c r="A132" t="s">
        <v>151</v>
      </c>
      <c r="B132" t="s">
        <v>152</v>
      </c>
      <c r="C132" t="s">
        <v>153</v>
      </c>
      <c r="D132" t="s">
        <v>109</v>
      </c>
      <c r="E132" t="s">
        <v>154</v>
      </c>
      <c r="F132" t="s">
        <v>140</v>
      </c>
      <c r="G132" t="s">
        <v>271</v>
      </c>
      <c r="H132" t="s">
        <v>110</v>
      </c>
      <c r="I132">
        <v>2.9</v>
      </c>
      <c r="J132">
        <v>8</v>
      </c>
      <c r="K132">
        <v>1</v>
      </c>
      <c r="M132" t="str">
        <f>VLOOKUP(line_chart_sankey[[#This Row],[team_code]], Sheet2!$F$1:$I$86, 4, FALSE)</f>
        <v>Semi-Finals</v>
      </c>
      <c r="N132" t="str">
        <f>VLOOKUP(line_chart_sankey[[#This Row],[team_code]], Sheet2!$F$1:$I$86, 2, FALSE)</f>
        <v>4th Place</v>
      </c>
      <c r="O132" t="str">
        <f>VLOOKUP(line_chart_sankey[[#This Row],[team_code]], Sheet2!$F$1:$I$86, 3, FALSE)</f>
        <v>WC-2002</v>
      </c>
    </row>
    <row r="133" spans="1:15" hidden="1" x14ac:dyDescent="0.25">
      <c r="A133" t="s">
        <v>151</v>
      </c>
      <c r="B133" t="s">
        <v>152</v>
      </c>
      <c r="C133" t="s">
        <v>153</v>
      </c>
      <c r="D133" t="s">
        <v>109</v>
      </c>
      <c r="E133" t="s">
        <v>154</v>
      </c>
      <c r="F133" t="s">
        <v>140</v>
      </c>
      <c r="G133" t="s">
        <v>271</v>
      </c>
      <c r="H133" t="s">
        <v>110</v>
      </c>
      <c r="I133" s="1">
        <v>1.825</v>
      </c>
      <c r="J133">
        <v>8</v>
      </c>
      <c r="K133">
        <v>0</v>
      </c>
      <c r="M133" t="str">
        <f>VLOOKUP(line_chart_sankey[[#This Row],[team_code]], Sheet2!$F$1:$I$86, 4, FALSE)</f>
        <v>Semi-Finals</v>
      </c>
      <c r="N133" t="str">
        <f>VLOOKUP(line_chart_sankey[[#This Row],[team_code]], Sheet2!$F$1:$I$86, 2, FALSE)</f>
        <v>4th Place</v>
      </c>
      <c r="O133" t="str">
        <f>VLOOKUP(line_chart_sankey[[#This Row],[team_code]], Sheet2!$F$1:$I$86, 3, FALSE)</f>
        <v>WC-2002</v>
      </c>
    </row>
    <row r="134" spans="1:15" hidden="1" x14ac:dyDescent="0.25">
      <c r="A134" t="s">
        <v>50</v>
      </c>
      <c r="B134" t="s">
        <v>35</v>
      </c>
      <c r="C134" t="s">
        <v>36</v>
      </c>
      <c r="D134" t="s">
        <v>98</v>
      </c>
      <c r="E134" t="s">
        <v>51</v>
      </c>
      <c r="F134" t="s">
        <v>140</v>
      </c>
      <c r="G134" t="s">
        <v>271</v>
      </c>
      <c r="H134" t="s">
        <v>49</v>
      </c>
      <c r="I134">
        <v>18.05</v>
      </c>
      <c r="J134">
        <v>3</v>
      </c>
      <c r="K134">
        <v>1</v>
      </c>
      <c r="M134" t="str">
        <f>VLOOKUP(line_chart_sankey[[#This Row],[team_code]], Sheet2!$F$1:$I$86, 4, FALSE)</f>
        <v>Semi-Finals</v>
      </c>
      <c r="N134" t="str">
        <f>VLOOKUP(line_chart_sankey[[#This Row],[team_code]], Sheet2!$F$1:$I$86, 2, FALSE)</f>
        <v>4th Place</v>
      </c>
      <c r="O134" t="str">
        <f>VLOOKUP(line_chart_sankey[[#This Row],[team_code]], Sheet2!$F$1:$I$86, 3, FALSE)</f>
        <v>WC-1994</v>
      </c>
    </row>
    <row r="135" spans="1:15" hidden="1" x14ac:dyDescent="0.25">
      <c r="A135" t="s">
        <v>50</v>
      </c>
      <c r="B135" t="s">
        <v>35</v>
      </c>
      <c r="C135" t="s">
        <v>36</v>
      </c>
      <c r="D135" t="s">
        <v>98</v>
      </c>
      <c r="E135" t="s">
        <v>51</v>
      </c>
      <c r="F135" t="s">
        <v>140</v>
      </c>
      <c r="G135" t="s">
        <v>271</v>
      </c>
      <c r="H135" t="s">
        <v>49</v>
      </c>
      <c r="I135">
        <v>16.582999999999998</v>
      </c>
      <c r="J135">
        <v>1</v>
      </c>
      <c r="K135">
        <v>0</v>
      </c>
      <c r="M135" t="str">
        <f>VLOOKUP(line_chart_sankey[[#This Row],[team_code]], Sheet2!$F$1:$I$86, 4, FALSE)</f>
        <v>Semi-Finals</v>
      </c>
      <c r="N135" t="str">
        <f>VLOOKUP(line_chart_sankey[[#This Row],[team_code]], Sheet2!$F$1:$I$86, 2, FALSE)</f>
        <v>4th Place</v>
      </c>
      <c r="O135" t="str">
        <f>VLOOKUP(line_chart_sankey[[#This Row],[team_code]], Sheet2!$F$1:$I$86, 3, FALSE)</f>
        <v>WC-1994</v>
      </c>
    </row>
    <row r="136" spans="1:15" hidden="1" x14ac:dyDescent="0.25">
      <c r="A136" t="s">
        <v>91</v>
      </c>
      <c r="B136" t="s">
        <v>35</v>
      </c>
      <c r="C136" t="s">
        <v>36</v>
      </c>
      <c r="D136" t="s">
        <v>63</v>
      </c>
      <c r="E136" t="s">
        <v>92</v>
      </c>
      <c r="F136" t="s">
        <v>140</v>
      </c>
      <c r="G136" t="s">
        <v>272</v>
      </c>
      <c r="H136" t="s">
        <v>61</v>
      </c>
      <c r="I136">
        <v>18.8</v>
      </c>
      <c r="J136">
        <v>25</v>
      </c>
      <c r="K136">
        <v>1</v>
      </c>
      <c r="M136" t="str">
        <f>VLOOKUP(line_chart_sankey[[#This Row],[team_code]], Sheet2!$F$1:$I$86, 4, FALSE)</f>
        <v>Semi-Finals</v>
      </c>
      <c r="N136" t="str">
        <f>VLOOKUP(line_chart_sankey[[#This Row],[team_code]], Sheet2!$F$1:$I$86, 2, FALSE)</f>
        <v>3rd Place</v>
      </c>
      <c r="O136" t="str">
        <f>VLOOKUP(line_chart_sankey[[#This Row],[team_code]], Sheet2!$F$1:$I$86, 3, FALSE)</f>
        <v>WC-1982</v>
      </c>
    </row>
    <row r="137" spans="1:15" hidden="1" x14ac:dyDescent="0.25">
      <c r="A137" t="s">
        <v>91</v>
      </c>
      <c r="B137" t="s">
        <v>35</v>
      </c>
      <c r="C137" t="s">
        <v>36</v>
      </c>
      <c r="D137" t="s">
        <v>63</v>
      </c>
      <c r="E137" t="s">
        <v>92</v>
      </c>
      <c r="F137" t="s">
        <v>140</v>
      </c>
      <c r="G137" t="s">
        <v>272</v>
      </c>
      <c r="H137" t="s">
        <v>61</v>
      </c>
      <c r="I137">
        <v>17.193999999999999</v>
      </c>
      <c r="J137">
        <v>2</v>
      </c>
      <c r="K137">
        <v>0</v>
      </c>
      <c r="M137" t="str">
        <f>VLOOKUP(line_chart_sankey[[#This Row],[team_code]], Sheet2!$F$1:$I$86, 4, FALSE)</f>
        <v>Semi-Finals</v>
      </c>
      <c r="N137" t="str">
        <f>VLOOKUP(line_chart_sankey[[#This Row],[team_code]], Sheet2!$F$1:$I$86, 2, FALSE)</f>
        <v>3rd Place</v>
      </c>
      <c r="O137" t="str">
        <f>VLOOKUP(line_chart_sankey[[#This Row],[team_code]], Sheet2!$F$1:$I$86, 3, FALSE)</f>
        <v>WC-1982</v>
      </c>
    </row>
    <row r="138" spans="1:15" hidden="1" x14ac:dyDescent="0.25">
      <c r="A138" t="s">
        <v>179</v>
      </c>
      <c r="B138" t="s">
        <v>162</v>
      </c>
      <c r="C138" t="s">
        <v>163</v>
      </c>
      <c r="D138" t="s">
        <v>109</v>
      </c>
      <c r="E138" t="s">
        <v>180</v>
      </c>
      <c r="F138" t="s">
        <v>263</v>
      </c>
      <c r="G138" t="s">
        <v>263</v>
      </c>
      <c r="H138" t="s">
        <v>110</v>
      </c>
      <c r="I138">
        <v>3.13</v>
      </c>
      <c r="J138">
        <v>10</v>
      </c>
      <c r="K138">
        <v>1</v>
      </c>
      <c r="M138" t="str">
        <f>VLOOKUP(line_chart_sankey[[#This Row],[team_code]], Sheet2!$F$1:$I$86, 4, FALSE)</f>
        <v>Quarter-Finals</v>
      </c>
      <c r="N138" t="str">
        <f>VLOOKUP(line_chart_sankey[[#This Row],[team_code]], Sheet2!$F$1:$I$86, 2, FALSE)</f>
        <v>Quarter-Finals</v>
      </c>
      <c r="O138" t="str">
        <f>VLOOKUP(line_chart_sankey[[#This Row],[team_code]], Sheet2!$F$1:$I$86, 3, FALSE)</f>
        <v>WC-2002</v>
      </c>
    </row>
    <row r="139" spans="1:15" hidden="1" x14ac:dyDescent="0.25">
      <c r="A139" t="s">
        <v>179</v>
      </c>
      <c r="B139" t="s">
        <v>162</v>
      </c>
      <c r="C139" t="s">
        <v>163</v>
      </c>
      <c r="D139" t="s">
        <v>109</v>
      </c>
      <c r="E139" t="s">
        <v>180</v>
      </c>
      <c r="F139" t="s">
        <v>263</v>
      </c>
      <c r="G139" t="s">
        <v>263</v>
      </c>
      <c r="H139" t="s">
        <v>110</v>
      </c>
      <c r="I139">
        <v>1.6225000000000001</v>
      </c>
      <c r="J139">
        <v>0</v>
      </c>
      <c r="K139">
        <v>0</v>
      </c>
      <c r="M139" t="str">
        <f>VLOOKUP(line_chart_sankey[[#This Row],[team_code]], Sheet2!$F$1:$I$86, 4, FALSE)</f>
        <v>Quarter-Finals</v>
      </c>
      <c r="N139" t="str">
        <f>VLOOKUP(line_chart_sankey[[#This Row],[team_code]], Sheet2!$F$1:$I$86, 2, FALSE)</f>
        <v>Quarter-Finals</v>
      </c>
      <c r="O139" t="str">
        <f>VLOOKUP(line_chart_sankey[[#This Row],[team_code]], Sheet2!$F$1:$I$86, 3, FALSE)</f>
        <v>WC-2002</v>
      </c>
    </row>
    <row r="140" spans="1:15" hidden="1" x14ac:dyDescent="0.25">
      <c r="A140" t="s">
        <v>233</v>
      </c>
      <c r="B140" t="s">
        <v>188</v>
      </c>
      <c r="C140" t="s">
        <v>171</v>
      </c>
      <c r="D140" t="s">
        <v>63</v>
      </c>
      <c r="E140" t="s">
        <v>234</v>
      </c>
      <c r="F140" t="s">
        <v>4</v>
      </c>
      <c r="G140" t="s">
        <v>4</v>
      </c>
      <c r="H140" t="s">
        <v>65</v>
      </c>
      <c r="I140">
        <v>1.73</v>
      </c>
      <c r="J140">
        <v>9</v>
      </c>
      <c r="K140">
        <v>1</v>
      </c>
      <c r="M140" t="str">
        <f>VLOOKUP(line_chart_sankey[[#This Row],[team_code]], Sheet2!$F$1:$I$86, 4, FALSE)</f>
        <v>Group Stage</v>
      </c>
      <c r="N140" t="str">
        <f>VLOOKUP(line_chart_sankey[[#This Row],[team_code]], Sheet2!$F$1:$I$86, 2, FALSE)</f>
        <v>Group Stage</v>
      </c>
      <c r="O140" t="str">
        <f>VLOOKUP(line_chart_sankey[[#This Row],[team_code]], Sheet2!$F$1:$I$86, 3, FALSE)</f>
        <v>WC-1982</v>
      </c>
    </row>
    <row r="141" spans="1:15" hidden="1" x14ac:dyDescent="0.25">
      <c r="A141" t="s">
        <v>233</v>
      </c>
      <c r="B141" t="s">
        <v>188</v>
      </c>
      <c r="C141" t="s">
        <v>171</v>
      </c>
      <c r="D141" t="s">
        <v>63</v>
      </c>
      <c r="E141" t="s">
        <v>234</v>
      </c>
      <c r="F141" t="s">
        <v>4</v>
      </c>
      <c r="G141" t="s">
        <v>4</v>
      </c>
      <c r="H141" t="s">
        <v>65</v>
      </c>
      <c r="I141">
        <v>0.58499999999999996</v>
      </c>
      <c r="J141">
        <v>2</v>
      </c>
      <c r="K141">
        <v>0</v>
      </c>
      <c r="M141" t="str">
        <f>VLOOKUP(line_chart_sankey[[#This Row],[team_code]], Sheet2!$F$1:$I$86, 4, FALSE)</f>
        <v>Group Stage</v>
      </c>
      <c r="N141" t="str">
        <f>VLOOKUP(line_chart_sankey[[#This Row],[team_code]], Sheet2!$F$1:$I$86, 2, FALSE)</f>
        <v>Group Stage</v>
      </c>
      <c r="O141" t="str">
        <f>VLOOKUP(line_chart_sankey[[#This Row],[team_code]], Sheet2!$F$1:$I$86, 3, FALSE)</f>
        <v>WC-1982</v>
      </c>
    </row>
    <row r="142" spans="1:15" hidden="1" x14ac:dyDescent="0.25">
      <c r="A142" t="s">
        <v>95</v>
      </c>
      <c r="B142" t="s">
        <v>35</v>
      </c>
      <c r="C142" t="s">
        <v>36</v>
      </c>
      <c r="D142" t="s">
        <v>125</v>
      </c>
      <c r="E142" t="s">
        <v>96</v>
      </c>
      <c r="F142" t="s">
        <v>140</v>
      </c>
      <c r="G142" t="s">
        <v>271</v>
      </c>
      <c r="H142" t="s">
        <v>73</v>
      </c>
      <c r="I142">
        <v>19.600000000000001</v>
      </c>
      <c r="J142">
        <v>26</v>
      </c>
      <c r="K142">
        <v>1</v>
      </c>
      <c r="M142" t="str">
        <f>VLOOKUP(line_chart_sankey[[#This Row],[team_code]], Sheet2!$F$1:$I$86, 4, FALSE)</f>
        <v>Semi-Finals</v>
      </c>
      <c r="N142" t="str">
        <f>VLOOKUP(line_chart_sankey[[#This Row],[team_code]], Sheet2!$F$1:$I$86, 2, FALSE)</f>
        <v>4th Place</v>
      </c>
      <c r="O142" t="str">
        <f>VLOOKUP(line_chart_sankey[[#This Row],[team_code]], Sheet2!$F$1:$I$86, 3, FALSE)</f>
        <v>WC-2006</v>
      </c>
    </row>
    <row r="143" spans="1:15" hidden="1" x14ac:dyDescent="0.25">
      <c r="A143" t="s">
        <v>95</v>
      </c>
      <c r="B143" t="s">
        <v>35</v>
      </c>
      <c r="C143" t="s">
        <v>36</v>
      </c>
      <c r="D143" t="s">
        <v>125</v>
      </c>
      <c r="E143" t="s">
        <v>96</v>
      </c>
      <c r="F143" t="s">
        <v>140</v>
      </c>
      <c r="G143" t="s">
        <v>271</v>
      </c>
      <c r="H143" t="s">
        <v>73</v>
      </c>
      <c r="I143">
        <v>17.805</v>
      </c>
      <c r="J143">
        <v>6</v>
      </c>
      <c r="K143">
        <v>0</v>
      </c>
      <c r="M143" t="str">
        <f>VLOOKUP(line_chart_sankey[[#This Row],[team_code]], Sheet2!$F$1:$I$86, 4, FALSE)</f>
        <v>Semi-Finals</v>
      </c>
      <c r="N143" t="str">
        <f>VLOOKUP(line_chart_sankey[[#This Row],[team_code]], Sheet2!$F$1:$I$86, 2, FALSE)</f>
        <v>4th Place</v>
      </c>
      <c r="O143" t="str">
        <f>VLOOKUP(line_chart_sankey[[#This Row],[team_code]], Sheet2!$F$1:$I$86, 3, FALSE)</f>
        <v>WC-2006</v>
      </c>
    </row>
    <row r="144" spans="1:15" hidden="1" x14ac:dyDescent="0.25">
      <c r="A144" t="s">
        <v>155</v>
      </c>
      <c r="B144" t="s">
        <v>149</v>
      </c>
      <c r="C144" t="s">
        <v>36</v>
      </c>
      <c r="D144" t="s">
        <v>43</v>
      </c>
      <c r="E144" t="s">
        <v>156</v>
      </c>
      <c r="F144" t="s">
        <v>140</v>
      </c>
      <c r="G144" t="s">
        <v>271</v>
      </c>
      <c r="H144" t="s">
        <v>45</v>
      </c>
      <c r="I144">
        <v>20.399999999999999</v>
      </c>
      <c r="J144">
        <v>32</v>
      </c>
      <c r="K144">
        <v>1</v>
      </c>
      <c r="M144" t="str">
        <f>VLOOKUP(line_chart_sankey[[#This Row],[team_code]], Sheet2!$F$1:$I$86, 4, FALSE)</f>
        <v>Semi-Finals</v>
      </c>
      <c r="N144" t="str">
        <f>VLOOKUP(line_chart_sankey[[#This Row],[team_code]], Sheet2!$F$1:$I$86, 2, FALSE)</f>
        <v>4th Place</v>
      </c>
      <c r="O144" t="str">
        <f>VLOOKUP(line_chart_sankey[[#This Row],[team_code]], Sheet2!$F$1:$I$86, 3, FALSE)</f>
        <v>WC-1966</v>
      </c>
    </row>
    <row r="145" spans="1:15" hidden="1" x14ac:dyDescent="0.25">
      <c r="A145" t="s">
        <v>155</v>
      </c>
      <c r="B145" t="s">
        <v>149</v>
      </c>
      <c r="C145" t="s">
        <v>36</v>
      </c>
      <c r="D145" t="s">
        <v>43</v>
      </c>
      <c r="E145" t="s">
        <v>156</v>
      </c>
      <c r="F145" t="s">
        <v>140</v>
      </c>
      <c r="G145" t="s">
        <v>271</v>
      </c>
      <c r="H145" t="s">
        <v>45</v>
      </c>
      <c r="I145">
        <v>18.416</v>
      </c>
      <c r="J145">
        <v>2</v>
      </c>
      <c r="K145">
        <v>0</v>
      </c>
      <c r="M145" t="str">
        <f>VLOOKUP(line_chart_sankey[[#This Row],[team_code]], Sheet2!$F$1:$I$86, 4, FALSE)</f>
        <v>Semi-Finals</v>
      </c>
      <c r="N145" t="str">
        <f>VLOOKUP(line_chart_sankey[[#This Row],[team_code]], Sheet2!$F$1:$I$86, 2, FALSE)</f>
        <v>4th Place</v>
      </c>
      <c r="O145" t="str">
        <f>VLOOKUP(line_chart_sankey[[#This Row],[team_code]], Sheet2!$F$1:$I$86, 3, FALSE)</f>
        <v>WC-1966</v>
      </c>
    </row>
    <row r="146" spans="1:15" hidden="1" x14ac:dyDescent="0.25">
      <c r="A146" t="s">
        <v>148</v>
      </c>
      <c r="B146" t="s">
        <v>149</v>
      </c>
      <c r="C146" t="s">
        <v>36</v>
      </c>
      <c r="D146" t="s">
        <v>109</v>
      </c>
      <c r="E146" t="s">
        <v>150</v>
      </c>
      <c r="F146" t="s">
        <v>140</v>
      </c>
      <c r="G146" t="s">
        <v>272</v>
      </c>
      <c r="H146" t="s">
        <v>110</v>
      </c>
      <c r="I146">
        <v>21.25</v>
      </c>
      <c r="J146">
        <v>36</v>
      </c>
      <c r="K146">
        <v>1</v>
      </c>
      <c r="M146" t="str">
        <f>VLOOKUP(line_chart_sankey[[#This Row],[team_code]], Sheet2!$F$1:$I$86, 4, FALSE)</f>
        <v>Semi-Finals</v>
      </c>
      <c r="N146" t="str">
        <f>VLOOKUP(line_chart_sankey[[#This Row],[team_code]], Sheet2!$F$1:$I$86, 2, FALSE)</f>
        <v>3rd Place</v>
      </c>
      <c r="O146" t="str">
        <f>VLOOKUP(line_chart_sankey[[#This Row],[team_code]], Sheet2!$F$1:$I$86, 3, FALSE)</f>
        <v>WC-2002</v>
      </c>
    </row>
    <row r="147" spans="1:15" hidden="1" x14ac:dyDescent="0.25">
      <c r="A147" t="s">
        <v>148</v>
      </c>
      <c r="B147" t="s">
        <v>149</v>
      </c>
      <c r="C147" t="s">
        <v>36</v>
      </c>
      <c r="D147" t="s">
        <v>109</v>
      </c>
      <c r="E147" t="s">
        <v>150</v>
      </c>
      <c r="F147" t="s">
        <v>140</v>
      </c>
      <c r="G147" t="s">
        <v>272</v>
      </c>
      <c r="H147" t="s">
        <v>110</v>
      </c>
      <c r="I147">
        <v>19.027000000000001</v>
      </c>
      <c r="J147">
        <v>6</v>
      </c>
      <c r="K147">
        <v>0</v>
      </c>
      <c r="M147" t="str">
        <f>VLOOKUP(line_chart_sankey[[#This Row],[team_code]], Sheet2!$F$1:$I$86, 4, FALSE)</f>
        <v>Semi-Finals</v>
      </c>
      <c r="N147" t="str">
        <f>VLOOKUP(line_chart_sankey[[#This Row],[team_code]], Sheet2!$F$1:$I$86, 2, FALSE)</f>
        <v>3rd Place</v>
      </c>
      <c r="O147" t="str">
        <f>VLOOKUP(line_chart_sankey[[#This Row],[team_code]], Sheet2!$F$1:$I$86, 3, FALSE)</f>
        <v>WC-2002</v>
      </c>
    </row>
    <row r="148" spans="1:15" hidden="1" x14ac:dyDescent="0.25">
      <c r="A148" t="s">
        <v>58</v>
      </c>
      <c r="B148" t="s">
        <v>35</v>
      </c>
      <c r="C148" t="s">
        <v>36</v>
      </c>
      <c r="D148" t="s">
        <v>119</v>
      </c>
      <c r="E148" t="s">
        <v>59</v>
      </c>
      <c r="F148" t="s">
        <v>140</v>
      </c>
      <c r="G148" t="s">
        <v>140</v>
      </c>
      <c r="H148" t="s">
        <v>55</v>
      </c>
      <c r="I148">
        <v>22</v>
      </c>
      <c r="J148">
        <v>39</v>
      </c>
      <c r="K148">
        <v>1</v>
      </c>
      <c r="M148" t="str">
        <f>VLOOKUP(line_chart_sankey[[#This Row],[team_code]], Sheet2!$F$1:$I$86, 4, FALSE)</f>
        <v>Semi-Finals</v>
      </c>
      <c r="N148" t="str">
        <f>VLOOKUP(line_chart_sankey[[#This Row],[team_code]], Sheet2!$F$1:$I$86, 2, FALSE)</f>
        <v>Semi-Finals</v>
      </c>
      <c r="O148" t="str">
        <f>VLOOKUP(line_chart_sankey[[#This Row],[team_code]], Sheet2!$F$1:$I$86, 3, FALSE)</f>
        <v>WC-1930</v>
      </c>
    </row>
    <row r="149" spans="1:15" hidden="1" x14ac:dyDescent="0.25">
      <c r="A149" t="s">
        <v>58</v>
      </c>
      <c r="B149" t="s">
        <v>35</v>
      </c>
      <c r="C149" t="s">
        <v>36</v>
      </c>
      <c r="D149" t="s">
        <v>119</v>
      </c>
      <c r="E149" t="s">
        <v>59</v>
      </c>
      <c r="F149" t="s">
        <v>140</v>
      </c>
      <c r="G149" t="s">
        <v>140</v>
      </c>
      <c r="H149" t="s">
        <v>55</v>
      </c>
      <c r="I149">
        <v>19.638000000000002</v>
      </c>
      <c r="J149">
        <v>5</v>
      </c>
      <c r="K149">
        <v>0</v>
      </c>
      <c r="M149" t="str">
        <f>VLOOKUP(line_chart_sankey[[#This Row],[team_code]], Sheet2!$F$1:$I$86, 4, FALSE)</f>
        <v>Semi-Finals</v>
      </c>
      <c r="N149" t="str">
        <f>VLOOKUP(line_chart_sankey[[#This Row],[team_code]], Sheet2!$F$1:$I$86, 2, FALSE)</f>
        <v>Semi-Finals</v>
      </c>
      <c r="O149" t="str">
        <f>VLOOKUP(line_chart_sankey[[#This Row],[team_code]], Sheet2!$F$1:$I$86, 3, FALSE)</f>
        <v>WC-1930</v>
      </c>
    </row>
    <row r="150" spans="1:15" hidden="1" x14ac:dyDescent="0.25">
      <c r="A150" t="s">
        <v>26</v>
      </c>
      <c r="B150" t="s">
        <v>35</v>
      </c>
      <c r="C150" t="s">
        <v>36</v>
      </c>
      <c r="D150" t="s">
        <v>114</v>
      </c>
      <c r="E150" t="s">
        <v>88</v>
      </c>
      <c r="F150" t="s">
        <v>19</v>
      </c>
      <c r="G150" t="s">
        <v>19</v>
      </c>
      <c r="H150" t="s">
        <v>87</v>
      </c>
      <c r="I150">
        <v>26.5</v>
      </c>
      <c r="J150">
        <v>10</v>
      </c>
      <c r="K150">
        <v>1</v>
      </c>
      <c r="M150" t="str">
        <f>VLOOKUP(line_chart_sankey[[#This Row],[team_code]], Sheet2!$F$1:$I$86, 4, FALSE)</f>
        <v>Winner</v>
      </c>
      <c r="N150" t="str">
        <f>VLOOKUP(line_chart_sankey[[#This Row],[team_code]], Sheet2!$F$1:$I$86, 2, FALSE)</f>
        <v>Winner</v>
      </c>
      <c r="O150" t="str">
        <f>VLOOKUP(line_chart_sankey[[#This Row],[team_code]], Sheet2!$F$1:$I$86, 3, FALSE)</f>
        <v>WC-2014</v>
      </c>
    </row>
    <row r="151" spans="1:15" hidden="1" x14ac:dyDescent="0.25">
      <c r="A151" t="s">
        <v>26</v>
      </c>
      <c r="B151" t="s">
        <v>35</v>
      </c>
      <c r="C151" t="s">
        <v>36</v>
      </c>
      <c r="D151" t="s">
        <v>114</v>
      </c>
      <c r="E151" t="s">
        <v>88</v>
      </c>
      <c r="F151" t="s">
        <v>19</v>
      </c>
      <c r="G151" t="s">
        <v>19</v>
      </c>
      <c r="H151" t="s">
        <v>87</v>
      </c>
      <c r="I151">
        <v>25.66</v>
      </c>
      <c r="J151">
        <v>2</v>
      </c>
      <c r="K151">
        <v>0</v>
      </c>
      <c r="M151" t="str">
        <f>VLOOKUP(line_chart_sankey[[#This Row],[team_code]], Sheet2!$F$1:$I$86, 4, FALSE)</f>
        <v>Winner</v>
      </c>
      <c r="N151" t="str">
        <f>VLOOKUP(line_chart_sankey[[#This Row],[team_code]], Sheet2!$F$1:$I$86, 2, FALSE)</f>
        <v>Winner</v>
      </c>
      <c r="O151" t="str">
        <f>VLOOKUP(line_chart_sankey[[#This Row],[team_code]], Sheet2!$F$1:$I$86, 3, FALSE)</f>
        <v>WC-2014</v>
      </c>
    </row>
    <row r="152" spans="1:15" hidden="1" x14ac:dyDescent="0.25">
      <c r="A152" t="s">
        <v>245</v>
      </c>
      <c r="B152" t="s">
        <v>162</v>
      </c>
      <c r="C152" t="s">
        <v>163</v>
      </c>
      <c r="D152" t="s">
        <v>125</v>
      </c>
      <c r="E152" t="s">
        <v>246</v>
      </c>
      <c r="F152" t="s">
        <v>4</v>
      </c>
      <c r="G152" t="s">
        <v>4</v>
      </c>
      <c r="H152" t="s">
        <v>126</v>
      </c>
      <c r="I152">
        <v>0.95</v>
      </c>
      <c r="J152">
        <v>11</v>
      </c>
      <c r="K152">
        <v>1</v>
      </c>
      <c r="M152" t="str">
        <f>VLOOKUP(line_chart_sankey[[#This Row],[team_code]], Sheet2!$F$1:$I$86, 4, FALSE)</f>
        <v>Group Stage</v>
      </c>
      <c r="N152" t="str">
        <f>VLOOKUP(line_chart_sankey[[#This Row],[team_code]], Sheet2!$F$1:$I$86, 2, FALSE)</f>
        <v>Group Stage</v>
      </c>
      <c r="O152" t="str">
        <f>VLOOKUP(line_chart_sankey[[#This Row],[team_code]], Sheet2!$F$1:$I$86, 3, FALSE)</f>
        <v>WC-2006</v>
      </c>
    </row>
    <row r="153" spans="1:15" hidden="1" x14ac:dyDescent="0.25">
      <c r="A153" t="s">
        <v>245</v>
      </c>
      <c r="B153" t="s">
        <v>162</v>
      </c>
      <c r="C153" t="s">
        <v>163</v>
      </c>
      <c r="D153" t="s">
        <v>125</v>
      </c>
      <c r="E153" t="s">
        <v>246</v>
      </c>
      <c r="F153" t="s">
        <v>4</v>
      </c>
      <c r="G153" t="s">
        <v>4</v>
      </c>
      <c r="H153" t="s">
        <v>126</v>
      </c>
      <c r="I153">
        <v>0.3342</v>
      </c>
      <c r="J153">
        <v>2</v>
      </c>
      <c r="K153">
        <v>0</v>
      </c>
      <c r="M153" t="str">
        <f>VLOOKUP(line_chart_sankey[[#This Row],[team_code]], Sheet2!$F$1:$I$86, 4, FALSE)</f>
        <v>Group Stage</v>
      </c>
      <c r="N153" t="str">
        <f>VLOOKUP(line_chart_sankey[[#This Row],[team_code]], Sheet2!$F$1:$I$86, 2, FALSE)</f>
        <v>Group Stage</v>
      </c>
      <c r="O153" t="str">
        <f>VLOOKUP(line_chart_sankey[[#This Row],[team_code]], Sheet2!$F$1:$I$86, 3, FALSE)</f>
        <v>WC-2006</v>
      </c>
    </row>
    <row r="154" spans="1:15" hidden="1" x14ac:dyDescent="0.25">
      <c r="A154" t="s">
        <v>257</v>
      </c>
      <c r="B154" t="s">
        <v>207</v>
      </c>
      <c r="C154" t="s">
        <v>171</v>
      </c>
      <c r="D154" t="s">
        <v>125</v>
      </c>
      <c r="E154" t="s">
        <v>258</v>
      </c>
      <c r="F154" t="s">
        <v>4</v>
      </c>
      <c r="G154" t="s">
        <v>4</v>
      </c>
      <c r="H154" t="s">
        <v>126</v>
      </c>
      <c r="I154">
        <v>2</v>
      </c>
      <c r="J154">
        <v>10</v>
      </c>
      <c r="K154">
        <v>1</v>
      </c>
      <c r="M154" t="str">
        <f>VLOOKUP(line_chart_sankey[[#This Row],[team_code]], Sheet2!$F$1:$I$86, 4, FALSE)</f>
        <v>Group Stage</v>
      </c>
      <c r="N154" t="str">
        <f>VLOOKUP(line_chart_sankey[[#This Row],[team_code]], Sheet2!$F$1:$I$86, 2, FALSE)</f>
        <v>Group Stage</v>
      </c>
      <c r="O154" t="str">
        <f>VLOOKUP(line_chart_sankey[[#This Row],[team_code]], Sheet2!$F$1:$I$86, 3, FALSE)</f>
        <v>WC-2006</v>
      </c>
    </row>
    <row r="155" spans="1:15" hidden="1" x14ac:dyDescent="0.25">
      <c r="A155" t="s">
        <v>257</v>
      </c>
      <c r="B155" t="s">
        <v>207</v>
      </c>
      <c r="C155" t="s">
        <v>171</v>
      </c>
      <c r="D155" t="s">
        <v>125</v>
      </c>
      <c r="E155" t="s">
        <v>258</v>
      </c>
      <c r="F155" t="s">
        <v>4</v>
      </c>
      <c r="G155" t="s">
        <v>4</v>
      </c>
      <c r="H155" t="s">
        <v>126</v>
      </c>
      <c r="I155">
        <v>0.65249999999999997</v>
      </c>
      <c r="J155">
        <v>5</v>
      </c>
      <c r="K155">
        <v>0</v>
      </c>
      <c r="M155" t="str">
        <f>VLOOKUP(line_chart_sankey[[#This Row],[team_code]], Sheet2!$F$1:$I$86, 4, FALSE)</f>
        <v>Group Stage</v>
      </c>
      <c r="N155" t="str">
        <f>VLOOKUP(line_chart_sankey[[#This Row],[team_code]], Sheet2!$F$1:$I$86, 2, FALSE)</f>
        <v>Group Stage</v>
      </c>
      <c r="O155" t="str">
        <f>VLOOKUP(line_chart_sankey[[#This Row],[team_code]], Sheet2!$F$1:$I$86, 3, FALSE)</f>
        <v>WC-2006</v>
      </c>
    </row>
    <row r="156" spans="1:15" hidden="1" x14ac:dyDescent="0.25">
      <c r="A156" t="s">
        <v>224</v>
      </c>
      <c r="B156" t="s">
        <v>162</v>
      </c>
      <c r="C156" t="s">
        <v>163</v>
      </c>
      <c r="D156" t="s">
        <v>75</v>
      </c>
      <c r="E156" t="s">
        <v>225</v>
      </c>
      <c r="F156" t="s">
        <v>4</v>
      </c>
      <c r="G156" t="s">
        <v>4</v>
      </c>
      <c r="H156" t="s">
        <v>77</v>
      </c>
      <c r="I156">
        <v>1.2250000000000001</v>
      </c>
      <c r="J156">
        <v>12</v>
      </c>
      <c r="K156">
        <v>1</v>
      </c>
      <c r="M156" t="str">
        <f>VLOOKUP(line_chart_sankey[[#This Row],[team_code]], Sheet2!$F$1:$I$86, 4, FALSE)</f>
        <v>Group Stage</v>
      </c>
      <c r="N156" t="str">
        <f>VLOOKUP(line_chart_sankey[[#This Row],[team_code]], Sheet2!$F$1:$I$86, 2, FALSE)</f>
        <v>Group Stage</v>
      </c>
      <c r="O156" t="str">
        <f>VLOOKUP(line_chart_sankey[[#This Row],[team_code]], Sheet2!$F$1:$I$86, 3, FALSE)</f>
        <v>WC-1998</v>
      </c>
    </row>
    <row r="157" spans="1:15" hidden="1" x14ac:dyDescent="0.25">
      <c r="A157" t="s">
        <v>224</v>
      </c>
      <c r="B157" t="s">
        <v>162</v>
      </c>
      <c r="C157" t="s">
        <v>163</v>
      </c>
      <c r="D157" t="s">
        <v>75</v>
      </c>
      <c r="E157" t="s">
        <v>225</v>
      </c>
      <c r="F157" t="s">
        <v>4</v>
      </c>
      <c r="G157" t="s">
        <v>4</v>
      </c>
      <c r="H157" t="s">
        <v>77</v>
      </c>
      <c r="I157">
        <v>0.42780000000000001</v>
      </c>
      <c r="J157">
        <v>6</v>
      </c>
      <c r="K157">
        <v>0</v>
      </c>
      <c r="M157" t="str">
        <f>VLOOKUP(line_chart_sankey[[#This Row],[team_code]], Sheet2!$F$1:$I$86, 4, FALSE)</f>
        <v>Group Stage</v>
      </c>
      <c r="N157" t="str">
        <f>VLOOKUP(line_chart_sankey[[#This Row],[team_code]], Sheet2!$F$1:$I$86, 2, FALSE)</f>
        <v>Group Stage</v>
      </c>
      <c r="O157" t="str">
        <f>VLOOKUP(line_chart_sankey[[#This Row],[team_code]], Sheet2!$F$1:$I$86, 3, FALSE)</f>
        <v>WC-1998</v>
      </c>
    </row>
    <row r="158" spans="1:15" hidden="1" x14ac:dyDescent="0.25">
      <c r="A158" t="s">
        <v>93</v>
      </c>
      <c r="B158" t="s">
        <v>35</v>
      </c>
      <c r="C158" t="s">
        <v>36</v>
      </c>
      <c r="D158" t="s">
        <v>43</v>
      </c>
      <c r="E158" t="s">
        <v>94</v>
      </c>
      <c r="F158" t="s">
        <v>19</v>
      </c>
      <c r="G158" t="s">
        <v>19</v>
      </c>
      <c r="H158" t="s">
        <v>65</v>
      </c>
      <c r="I158">
        <v>27.3</v>
      </c>
      <c r="J158">
        <v>12</v>
      </c>
      <c r="K158">
        <v>1</v>
      </c>
      <c r="M158" t="str">
        <f>VLOOKUP(line_chart_sankey[[#This Row],[team_code]], Sheet2!$F$1:$I$86, 4, FALSE)</f>
        <v>Winner</v>
      </c>
      <c r="N158" t="str">
        <f>VLOOKUP(line_chart_sankey[[#This Row],[team_code]], Sheet2!$F$1:$I$86, 2, FALSE)</f>
        <v>Winner</v>
      </c>
      <c r="O158" t="str">
        <f>VLOOKUP(line_chart_sankey[[#This Row],[team_code]], Sheet2!$F$1:$I$86, 3, FALSE)</f>
        <v>WC-1966</v>
      </c>
    </row>
    <row r="159" spans="1:15" hidden="1" x14ac:dyDescent="0.25">
      <c r="A159" t="s">
        <v>93</v>
      </c>
      <c r="B159" t="s">
        <v>35</v>
      </c>
      <c r="C159" t="s">
        <v>36</v>
      </c>
      <c r="D159" t="s">
        <v>43</v>
      </c>
      <c r="E159" t="s">
        <v>94</v>
      </c>
      <c r="F159" t="s">
        <v>19</v>
      </c>
      <c r="G159" t="s">
        <v>19</v>
      </c>
      <c r="H159" t="s">
        <v>65</v>
      </c>
      <c r="I159">
        <v>26.582999999999998</v>
      </c>
      <c r="J159">
        <v>1</v>
      </c>
      <c r="K159">
        <v>0</v>
      </c>
      <c r="M159" t="str">
        <f>VLOOKUP(line_chart_sankey[[#This Row],[team_code]], Sheet2!$F$1:$I$86, 4, FALSE)</f>
        <v>Winner</v>
      </c>
      <c r="N159" t="str">
        <f>VLOOKUP(line_chart_sankey[[#This Row],[team_code]], Sheet2!$F$1:$I$86, 2, FALSE)</f>
        <v>Winner</v>
      </c>
      <c r="O159" t="str">
        <f>VLOOKUP(line_chart_sankey[[#This Row],[team_code]], Sheet2!$F$1:$I$86, 3, FALSE)</f>
        <v>WC-1966</v>
      </c>
    </row>
    <row r="160" spans="1:15" hidden="1" x14ac:dyDescent="0.25">
      <c r="A160" t="s">
        <v>62</v>
      </c>
      <c r="B160" t="s">
        <v>35</v>
      </c>
      <c r="C160" t="s">
        <v>36</v>
      </c>
      <c r="D160" t="s">
        <v>78</v>
      </c>
      <c r="E160" t="s">
        <v>64</v>
      </c>
      <c r="F160" t="s">
        <v>19</v>
      </c>
      <c r="G160" t="s">
        <v>19</v>
      </c>
      <c r="H160" t="s">
        <v>65</v>
      </c>
      <c r="I160">
        <v>28.1</v>
      </c>
      <c r="J160">
        <v>13</v>
      </c>
      <c r="K160">
        <v>1</v>
      </c>
      <c r="M160" t="str">
        <f>VLOOKUP(line_chart_sankey[[#This Row],[team_code]], Sheet2!$F$1:$I$86, 4, FALSE)</f>
        <v>Winner</v>
      </c>
      <c r="N160" t="str">
        <f>VLOOKUP(line_chart_sankey[[#This Row],[team_code]], Sheet2!$F$1:$I$86, 2, FALSE)</f>
        <v>Winner</v>
      </c>
      <c r="O160" t="str">
        <f>VLOOKUP(line_chart_sankey[[#This Row],[team_code]], Sheet2!$F$1:$I$86, 3, FALSE)</f>
        <v>WC-2010</v>
      </c>
    </row>
    <row r="161" spans="1:15" hidden="1" x14ac:dyDescent="0.25">
      <c r="A161" t="s">
        <v>62</v>
      </c>
      <c r="B161" t="s">
        <v>35</v>
      </c>
      <c r="C161" t="s">
        <v>36</v>
      </c>
      <c r="D161" t="s">
        <v>78</v>
      </c>
      <c r="E161" t="s">
        <v>64</v>
      </c>
      <c r="F161" t="s">
        <v>19</v>
      </c>
      <c r="G161" t="s">
        <v>19</v>
      </c>
      <c r="H161" t="s">
        <v>65</v>
      </c>
      <c r="I161">
        <v>27.5</v>
      </c>
      <c r="J161">
        <v>1</v>
      </c>
      <c r="K161">
        <v>0</v>
      </c>
      <c r="M161" t="str">
        <f>VLOOKUP(line_chart_sankey[[#This Row],[team_code]], Sheet2!$F$1:$I$86, 4, FALSE)</f>
        <v>Winner</v>
      </c>
      <c r="N161" t="str">
        <f>VLOOKUP(line_chart_sankey[[#This Row],[team_code]], Sheet2!$F$1:$I$86, 2, FALSE)</f>
        <v>Winner</v>
      </c>
      <c r="O161" t="str">
        <f>VLOOKUP(line_chart_sankey[[#This Row],[team_code]], Sheet2!$F$1:$I$86, 3, FALSE)</f>
        <v>WC-2010</v>
      </c>
    </row>
    <row r="162" spans="1:15" hidden="1" x14ac:dyDescent="0.25">
      <c r="A162" t="s">
        <v>157</v>
      </c>
      <c r="B162" t="s">
        <v>145</v>
      </c>
      <c r="C162" t="s">
        <v>146</v>
      </c>
      <c r="D162" t="s">
        <v>119</v>
      </c>
      <c r="E162" t="s">
        <v>158</v>
      </c>
      <c r="F162" t="s">
        <v>19</v>
      </c>
      <c r="G162" t="s">
        <v>19</v>
      </c>
      <c r="H162" t="s">
        <v>79</v>
      </c>
      <c r="I162">
        <v>2.84</v>
      </c>
      <c r="J162">
        <v>9</v>
      </c>
      <c r="K162">
        <v>1</v>
      </c>
      <c r="M162" t="str">
        <f>VLOOKUP(line_chart_sankey[[#This Row],[team_code]], Sheet2!$F$1:$I$86, 4, FALSE)</f>
        <v>Winner</v>
      </c>
      <c r="N162" t="str">
        <f>VLOOKUP(line_chart_sankey[[#This Row],[team_code]], Sheet2!$F$1:$I$86, 2, FALSE)</f>
        <v>Winner</v>
      </c>
      <c r="O162" t="str">
        <f>VLOOKUP(line_chart_sankey[[#This Row],[team_code]], Sheet2!$F$1:$I$86, 3, FALSE)</f>
        <v>WC-1930</v>
      </c>
    </row>
    <row r="163" spans="1:15" hidden="1" x14ac:dyDescent="0.25">
      <c r="A163" t="s">
        <v>157</v>
      </c>
      <c r="B163" t="s">
        <v>145</v>
      </c>
      <c r="C163" t="s">
        <v>146</v>
      </c>
      <c r="D163" t="s">
        <v>119</v>
      </c>
      <c r="E163" t="s">
        <v>158</v>
      </c>
      <c r="F163" t="s">
        <v>19</v>
      </c>
      <c r="G163" t="s">
        <v>19</v>
      </c>
      <c r="H163" t="s">
        <v>79</v>
      </c>
      <c r="I163">
        <v>2.9043749999999999</v>
      </c>
      <c r="J163">
        <v>2</v>
      </c>
      <c r="K163">
        <v>0</v>
      </c>
      <c r="M163" t="str">
        <f>VLOOKUP(line_chart_sankey[[#This Row],[team_code]], Sheet2!$F$1:$I$86, 4, FALSE)</f>
        <v>Winner</v>
      </c>
      <c r="N163" t="str">
        <f>VLOOKUP(line_chart_sankey[[#This Row],[team_code]], Sheet2!$F$1:$I$86, 2, FALSE)</f>
        <v>Winner</v>
      </c>
      <c r="O163" t="str">
        <f>VLOOKUP(line_chart_sankey[[#This Row],[team_code]], Sheet2!$F$1:$I$86, 3, FALSE)</f>
        <v>WC-1930</v>
      </c>
    </row>
    <row r="164" spans="1:15" hidden="1" x14ac:dyDescent="0.25">
      <c r="A164" t="s">
        <v>177</v>
      </c>
      <c r="B164" t="s">
        <v>170</v>
      </c>
      <c r="C164" t="s">
        <v>171</v>
      </c>
      <c r="D164" t="s">
        <v>119</v>
      </c>
      <c r="E164" t="s">
        <v>178</v>
      </c>
      <c r="F164" t="s">
        <v>140</v>
      </c>
      <c r="G164" t="s">
        <v>140</v>
      </c>
      <c r="H164" t="s">
        <v>100</v>
      </c>
      <c r="I164">
        <v>3.085</v>
      </c>
      <c r="J164">
        <v>11</v>
      </c>
      <c r="K164">
        <v>1</v>
      </c>
      <c r="M164" t="str">
        <f>VLOOKUP(line_chart_sankey[[#This Row],[team_code]], Sheet2!$F$1:$I$86, 4, FALSE)</f>
        <v>Semi-Finals</v>
      </c>
      <c r="N164" t="str">
        <f>VLOOKUP(line_chart_sankey[[#This Row],[team_code]], Sheet2!$F$1:$I$86, 2, FALSE)</f>
        <v>Semi-Finals</v>
      </c>
      <c r="O164" t="str">
        <f>VLOOKUP(line_chart_sankey[[#This Row],[team_code]], Sheet2!$F$1:$I$86, 3, FALSE)</f>
        <v>WC-1930</v>
      </c>
    </row>
    <row r="165" spans="1:15" hidden="1" x14ac:dyDescent="0.25">
      <c r="A165" t="s">
        <v>177</v>
      </c>
      <c r="B165" t="s">
        <v>170</v>
      </c>
      <c r="C165" t="s">
        <v>171</v>
      </c>
      <c r="D165" t="s">
        <v>119</v>
      </c>
      <c r="E165" t="s">
        <v>178</v>
      </c>
      <c r="F165" t="s">
        <v>140</v>
      </c>
      <c r="G165" t="s">
        <v>140</v>
      </c>
      <c r="H165" t="s">
        <v>100</v>
      </c>
      <c r="I165">
        <v>1.95</v>
      </c>
      <c r="J165">
        <v>6</v>
      </c>
      <c r="K165">
        <v>0</v>
      </c>
      <c r="M165" t="str">
        <f>VLOOKUP(line_chart_sankey[[#This Row],[team_code]], Sheet2!$F$1:$I$86, 4, FALSE)</f>
        <v>Semi-Finals</v>
      </c>
      <c r="N165" t="str">
        <f>VLOOKUP(line_chart_sankey[[#This Row],[team_code]], Sheet2!$F$1:$I$86, 2, FALSE)</f>
        <v>Semi-Finals</v>
      </c>
      <c r="O165" t="str">
        <f>VLOOKUP(line_chart_sankey[[#This Row],[team_code]], Sheet2!$F$1:$I$86, 3, FALSE)</f>
        <v>WC-1930</v>
      </c>
    </row>
    <row r="166" spans="1:15" hidden="1" x14ac:dyDescent="0.25">
      <c r="A166" t="s">
        <v>42</v>
      </c>
      <c r="B166" t="s">
        <v>35</v>
      </c>
      <c r="C166" t="s">
        <v>36</v>
      </c>
      <c r="D166" t="s">
        <v>81</v>
      </c>
      <c r="E166" t="s">
        <v>44</v>
      </c>
      <c r="F166" t="s">
        <v>19</v>
      </c>
      <c r="G166" t="s">
        <v>19</v>
      </c>
      <c r="H166" t="s">
        <v>45</v>
      </c>
      <c r="I166">
        <v>28.8</v>
      </c>
      <c r="J166">
        <v>14</v>
      </c>
      <c r="K166">
        <v>1</v>
      </c>
      <c r="M166" t="str">
        <f>VLOOKUP(line_chart_sankey[[#This Row],[team_code]], Sheet2!$F$1:$I$86, 4, FALSE)</f>
        <v>Winner</v>
      </c>
      <c r="N166" t="str">
        <f>VLOOKUP(line_chart_sankey[[#This Row],[team_code]], Sheet2!$F$1:$I$86, 2, FALSE)</f>
        <v>Winner</v>
      </c>
      <c r="O166" t="str">
        <f>VLOOKUP(line_chart_sankey[[#This Row],[team_code]], Sheet2!$F$1:$I$86, 3, FALSE)</f>
        <v>WC-2018</v>
      </c>
    </row>
    <row r="167" spans="1:15" hidden="1" x14ac:dyDescent="0.25">
      <c r="A167" t="s">
        <v>42</v>
      </c>
      <c r="B167" t="s">
        <v>35</v>
      </c>
      <c r="C167" t="s">
        <v>36</v>
      </c>
      <c r="D167" t="s">
        <v>81</v>
      </c>
      <c r="E167" t="s">
        <v>44</v>
      </c>
      <c r="F167" t="s">
        <v>19</v>
      </c>
      <c r="G167" t="s">
        <v>19</v>
      </c>
      <c r="H167" t="s">
        <v>45</v>
      </c>
      <c r="I167">
        <v>28.416</v>
      </c>
      <c r="J167">
        <v>5</v>
      </c>
      <c r="K167">
        <v>0</v>
      </c>
      <c r="M167" t="str">
        <f>VLOOKUP(line_chart_sankey[[#This Row],[team_code]], Sheet2!$F$1:$I$86, 4, FALSE)</f>
        <v>Winner</v>
      </c>
      <c r="N167" t="str">
        <f>VLOOKUP(line_chart_sankey[[#This Row],[team_code]], Sheet2!$F$1:$I$86, 2, FALSE)</f>
        <v>Winner</v>
      </c>
      <c r="O167" t="str">
        <f>VLOOKUP(line_chart_sankey[[#This Row],[team_code]], Sheet2!$F$1:$I$86, 3, FALSE)</f>
        <v>WC-2018</v>
      </c>
    </row>
    <row r="168" spans="1:15" hidden="1" x14ac:dyDescent="0.25">
      <c r="A168" t="s">
        <v>56</v>
      </c>
      <c r="B168" t="s">
        <v>35</v>
      </c>
      <c r="C168" t="s">
        <v>36</v>
      </c>
      <c r="D168" t="s">
        <v>63</v>
      </c>
      <c r="E168" t="s">
        <v>57</v>
      </c>
      <c r="F168" t="s">
        <v>19</v>
      </c>
      <c r="G168" t="s">
        <v>19</v>
      </c>
      <c r="H168" t="s">
        <v>55</v>
      </c>
      <c r="I168">
        <v>29.7</v>
      </c>
      <c r="J168">
        <v>21</v>
      </c>
      <c r="K168">
        <v>1</v>
      </c>
      <c r="M168" t="str">
        <f>VLOOKUP(line_chart_sankey[[#This Row],[team_code]], Sheet2!$F$1:$I$86, 4, FALSE)</f>
        <v>Winner</v>
      </c>
      <c r="N168" t="str">
        <f>VLOOKUP(line_chart_sankey[[#This Row],[team_code]], Sheet2!$F$1:$I$86, 2, FALSE)</f>
        <v>Winner</v>
      </c>
      <c r="O168" t="str">
        <f>VLOOKUP(line_chart_sankey[[#This Row],[team_code]], Sheet2!$F$1:$I$86, 3, FALSE)</f>
        <v>WC-1982</v>
      </c>
    </row>
    <row r="169" spans="1:15" hidden="1" x14ac:dyDescent="0.25">
      <c r="A169" t="s">
        <v>56</v>
      </c>
      <c r="B169" t="s">
        <v>35</v>
      </c>
      <c r="C169" t="s">
        <v>36</v>
      </c>
      <c r="D169" t="s">
        <v>63</v>
      </c>
      <c r="E169" t="s">
        <v>57</v>
      </c>
      <c r="F169" t="s">
        <v>19</v>
      </c>
      <c r="G169" t="s">
        <v>19</v>
      </c>
      <c r="H169" t="s">
        <v>55</v>
      </c>
      <c r="I169">
        <v>29.33</v>
      </c>
      <c r="J169">
        <v>4</v>
      </c>
      <c r="K169">
        <v>0</v>
      </c>
      <c r="M169" t="str">
        <f>VLOOKUP(line_chart_sankey[[#This Row],[team_code]], Sheet2!$F$1:$I$86, 4, FALSE)</f>
        <v>Winner</v>
      </c>
      <c r="N169" t="str">
        <f>VLOOKUP(line_chart_sankey[[#This Row],[team_code]], Sheet2!$F$1:$I$86, 2, FALSE)</f>
        <v>Winner</v>
      </c>
      <c r="O169" t="str">
        <f>VLOOKUP(line_chart_sankey[[#This Row],[team_code]], Sheet2!$F$1:$I$86, 3, FALSE)</f>
        <v>WC-1982</v>
      </c>
    </row>
    <row r="170" spans="1:15" hidden="1" x14ac:dyDescent="0.25">
      <c r="A170" t="s">
        <v>222</v>
      </c>
      <c r="B170" t="s">
        <v>162</v>
      </c>
      <c r="C170" t="s">
        <v>163</v>
      </c>
      <c r="D170" t="s">
        <v>75</v>
      </c>
      <c r="E170" t="s">
        <v>223</v>
      </c>
      <c r="F170" t="s">
        <v>4</v>
      </c>
      <c r="G170" t="s">
        <v>4</v>
      </c>
      <c r="H170" t="s">
        <v>77</v>
      </c>
      <c r="I170">
        <v>1.5</v>
      </c>
      <c r="J170">
        <v>13</v>
      </c>
      <c r="K170">
        <v>1</v>
      </c>
      <c r="M170" t="str">
        <f>VLOOKUP(line_chart_sankey[[#This Row],[team_code]], Sheet2!$F$1:$I$86, 4, FALSE)</f>
        <v>Group Stage</v>
      </c>
      <c r="N170" t="str">
        <f>VLOOKUP(line_chart_sankey[[#This Row],[team_code]], Sheet2!$F$1:$I$86, 2, FALSE)</f>
        <v>Group Stage</v>
      </c>
      <c r="O170" t="str">
        <f>VLOOKUP(line_chart_sankey[[#This Row],[team_code]], Sheet2!$F$1:$I$86, 3, FALSE)</f>
        <v>WC-1998</v>
      </c>
    </row>
    <row r="171" spans="1:15" hidden="1" x14ac:dyDescent="0.25">
      <c r="A171" t="s">
        <v>222</v>
      </c>
      <c r="B171" t="s">
        <v>162</v>
      </c>
      <c r="C171" t="s">
        <v>163</v>
      </c>
      <c r="D171" t="s">
        <v>75</v>
      </c>
      <c r="E171" t="s">
        <v>223</v>
      </c>
      <c r="F171" t="s">
        <v>4</v>
      </c>
      <c r="G171" t="s">
        <v>4</v>
      </c>
      <c r="H171" t="s">
        <v>77</v>
      </c>
      <c r="I171">
        <v>0.52139999999999997</v>
      </c>
      <c r="J171">
        <v>1</v>
      </c>
      <c r="K171">
        <v>0</v>
      </c>
      <c r="M171" t="str">
        <f>VLOOKUP(line_chart_sankey[[#This Row],[team_code]], Sheet2!$F$1:$I$86, 4, FALSE)</f>
        <v>Group Stage</v>
      </c>
      <c r="N171" t="str">
        <f>VLOOKUP(line_chart_sankey[[#This Row],[team_code]], Sheet2!$F$1:$I$86, 2, FALSE)</f>
        <v>Group Stage</v>
      </c>
      <c r="O171" t="str">
        <f>VLOOKUP(line_chart_sankey[[#This Row],[team_code]], Sheet2!$F$1:$I$86, 3, FALSE)</f>
        <v>WC-1998</v>
      </c>
    </row>
  </sheetData>
  <autoFilter ref="M1:M171" xr:uid="{57C6B524-BFFD-41FF-A76A-836A0BD5CD2D}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545B-B408-418A-BBDB-B60E2A86A2D5}">
  <sheetPr>
    <tabColor rgb="FF00B050"/>
  </sheetPr>
  <dimension ref="A1:O170"/>
  <sheetViews>
    <sheetView tabSelected="1" topLeftCell="D1" workbookViewId="0">
      <selection activeCell="K2" sqref="K2"/>
    </sheetView>
  </sheetViews>
  <sheetFormatPr defaultRowHeight="15" x14ac:dyDescent="0.25"/>
  <cols>
    <col min="1" max="1" width="13.7109375" hidden="1" customWidth="1"/>
    <col min="2" max="2" width="14.42578125" hidden="1" customWidth="1"/>
    <col min="3" max="3" width="13.140625" customWidth="1"/>
    <col min="4" max="4" width="16.42578125" customWidth="1"/>
    <col min="5" max="5" width="13" customWidth="1"/>
    <col min="6" max="6" width="19.7109375" customWidth="1"/>
    <col min="8" max="8" width="12" customWidth="1"/>
    <col min="10" max="10" width="16.85546875" customWidth="1"/>
    <col min="11" max="11" width="24.28515625" customWidth="1"/>
    <col min="12" max="12" width="15.85546875" customWidth="1"/>
    <col min="13" max="13" width="11" customWidth="1"/>
    <col min="14" max="14" width="12.7109375" customWidth="1"/>
    <col min="15" max="15" width="10.42578125" customWidth="1"/>
  </cols>
  <sheetData>
    <row r="1" spans="1:15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33</v>
      </c>
      <c r="G1" s="3" t="s">
        <v>259</v>
      </c>
      <c r="H1" s="3" t="s">
        <v>262</v>
      </c>
      <c r="I1" s="3" t="s">
        <v>260</v>
      </c>
      <c r="J1" s="3" t="s">
        <v>277</v>
      </c>
      <c r="K1" s="3" t="s">
        <v>404</v>
      </c>
      <c r="L1" s="3" t="s">
        <v>32</v>
      </c>
      <c r="M1" s="3" t="s">
        <v>276</v>
      </c>
      <c r="N1" s="3" t="s">
        <v>265</v>
      </c>
      <c r="O1" s="3" t="s">
        <v>279</v>
      </c>
    </row>
    <row r="2" spans="1:15" x14ac:dyDescent="0.25">
      <c r="A2" s="3" t="s">
        <v>226</v>
      </c>
      <c r="B2" s="3" t="s">
        <v>162</v>
      </c>
      <c r="C2" s="3" t="s">
        <v>163</v>
      </c>
      <c r="D2" s="3" t="s">
        <v>125</v>
      </c>
      <c r="E2" s="3" t="s">
        <v>227</v>
      </c>
      <c r="F2" s="3" t="s">
        <v>126</v>
      </c>
      <c r="G2" s="3">
        <v>0.13</v>
      </c>
      <c r="H2" s="3">
        <v>1</v>
      </c>
      <c r="I2" s="4">
        <v>1</v>
      </c>
      <c r="J2" s="3" t="s">
        <v>4</v>
      </c>
      <c r="K2" s="3" t="s">
        <v>4</v>
      </c>
      <c r="L2" s="3" t="s">
        <v>4</v>
      </c>
      <c r="M2" s="3" t="s">
        <v>125</v>
      </c>
      <c r="N2" s="3" t="s">
        <v>405</v>
      </c>
      <c r="O2" s="3" t="s">
        <v>285</v>
      </c>
    </row>
    <row r="3" spans="1:15" x14ac:dyDescent="0.25">
      <c r="A3" s="3" t="s">
        <v>226</v>
      </c>
      <c r="B3" s="3" t="s">
        <v>162</v>
      </c>
      <c r="C3" s="3" t="s">
        <v>163</v>
      </c>
      <c r="D3" s="3" t="s">
        <v>125</v>
      </c>
      <c r="E3" s="3" t="s">
        <v>227</v>
      </c>
      <c r="F3" s="3" t="s">
        <v>126</v>
      </c>
      <c r="G3" s="3">
        <v>5.3499999999999999E-2</v>
      </c>
      <c r="H3" s="3">
        <v>1</v>
      </c>
      <c r="I3" s="4">
        <v>0</v>
      </c>
      <c r="J3" s="3" t="s">
        <v>4</v>
      </c>
      <c r="K3" s="3" t="s">
        <v>4</v>
      </c>
      <c r="L3" s="3" t="s">
        <v>4</v>
      </c>
      <c r="M3" s="3" t="s">
        <v>125</v>
      </c>
      <c r="N3" s="3" t="s">
        <v>405</v>
      </c>
      <c r="O3" s="3" t="s">
        <v>285</v>
      </c>
    </row>
    <row r="4" spans="1:15" x14ac:dyDescent="0.25">
      <c r="A4" s="3" t="s">
        <v>237</v>
      </c>
      <c r="B4" s="3" t="s">
        <v>191</v>
      </c>
      <c r="C4" s="3" t="s">
        <v>153</v>
      </c>
      <c r="D4" s="3" t="s">
        <v>107</v>
      </c>
      <c r="E4" s="3" t="s">
        <v>238</v>
      </c>
      <c r="F4" s="3" t="s">
        <v>108</v>
      </c>
      <c r="G4" s="3">
        <v>0.23849999999999999</v>
      </c>
      <c r="H4" s="3">
        <v>1</v>
      </c>
      <c r="I4" s="4">
        <v>0</v>
      </c>
      <c r="J4" s="3" t="s">
        <v>4</v>
      </c>
      <c r="K4" s="3" t="s">
        <v>4</v>
      </c>
      <c r="L4" s="3" t="s">
        <v>4</v>
      </c>
      <c r="M4" s="3" t="s">
        <v>107</v>
      </c>
      <c r="N4" s="3" t="s">
        <v>405</v>
      </c>
      <c r="O4" s="3" t="s">
        <v>287</v>
      </c>
    </row>
    <row r="5" spans="1:15" x14ac:dyDescent="0.25">
      <c r="A5" s="3" t="s">
        <v>237</v>
      </c>
      <c r="B5" s="3" t="s">
        <v>191</v>
      </c>
      <c r="C5" s="3" t="s">
        <v>153</v>
      </c>
      <c r="D5" s="3" t="s">
        <v>107</v>
      </c>
      <c r="E5" s="3" t="s">
        <v>238</v>
      </c>
      <c r="F5" s="3" t="s">
        <v>108</v>
      </c>
      <c r="G5" s="3">
        <v>0.315</v>
      </c>
      <c r="H5" s="3">
        <v>1</v>
      </c>
      <c r="I5" s="4">
        <v>1</v>
      </c>
      <c r="J5" s="3" t="s">
        <v>4</v>
      </c>
      <c r="K5" s="3" t="s">
        <v>4</v>
      </c>
      <c r="L5" s="3" t="s">
        <v>4</v>
      </c>
      <c r="M5" s="3" t="s">
        <v>107</v>
      </c>
      <c r="N5" s="3" t="s">
        <v>405</v>
      </c>
      <c r="O5" s="3" t="s">
        <v>287</v>
      </c>
    </row>
    <row r="6" spans="1:15" x14ac:dyDescent="0.25">
      <c r="A6" s="3" t="s">
        <v>117</v>
      </c>
      <c r="B6" s="3" t="s">
        <v>35</v>
      </c>
      <c r="C6" s="3" t="s">
        <v>36</v>
      </c>
      <c r="D6" s="3" t="s">
        <v>114</v>
      </c>
      <c r="E6" s="3" t="s">
        <v>118</v>
      </c>
      <c r="F6" s="3" t="s">
        <v>116</v>
      </c>
      <c r="G6" s="3">
        <v>0.3</v>
      </c>
      <c r="H6" s="3">
        <v>5</v>
      </c>
      <c r="I6" s="4">
        <v>0</v>
      </c>
      <c r="J6" s="3" t="s">
        <v>4</v>
      </c>
      <c r="K6" s="3" t="s">
        <v>4</v>
      </c>
      <c r="L6" s="3" t="s">
        <v>4</v>
      </c>
      <c r="M6" s="3" t="s">
        <v>114</v>
      </c>
      <c r="N6" s="3" t="s">
        <v>405</v>
      </c>
      <c r="O6" s="3" t="s">
        <v>288</v>
      </c>
    </row>
    <row r="7" spans="1:15" x14ac:dyDescent="0.25">
      <c r="A7" s="3" t="s">
        <v>117</v>
      </c>
      <c r="B7" s="3" t="s">
        <v>35</v>
      </c>
      <c r="C7" s="3" t="s">
        <v>36</v>
      </c>
      <c r="D7" s="3" t="s">
        <v>114</v>
      </c>
      <c r="E7" s="3" t="s">
        <v>118</v>
      </c>
      <c r="F7" s="3" t="s">
        <v>116</v>
      </c>
      <c r="G7" s="3">
        <v>0.3</v>
      </c>
      <c r="H7" s="3">
        <v>4</v>
      </c>
      <c r="I7" s="4">
        <v>1</v>
      </c>
      <c r="J7" s="3" t="s">
        <v>4</v>
      </c>
      <c r="K7" s="3" t="s">
        <v>4</v>
      </c>
      <c r="L7" s="3" t="s">
        <v>4</v>
      </c>
      <c r="M7" s="3" t="s">
        <v>114</v>
      </c>
      <c r="N7" s="3" t="s">
        <v>405</v>
      </c>
      <c r="O7" s="3" t="s">
        <v>288</v>
      </c>
    </row>
    <row r="8" spans="1:15" x14ac:dyDescent="0.25">
      <c r="A8" s="3" t="s">
        <v>239</v>
      </c>
      <c r="B8" s="3" t="s">
        <v>145</v>
      </c>
      <c r="C8" s="3" t="s">
        <v>146</v>
      </c>
      <c r="D8" s="3" t="s">
        <v>98</v>
      </c>
      <c r="E8" s="3" t="s">
        <v>240</v>
      </c>
      <c r="F8" s="3" t="s">
        <v>100</v>
      </c>
      <c r="G8" s="3">
        <v>0.36</v>
      </c>
      <c r="H8" s="3">
        <v>2</v>
      </c>
      <c r="I8" s="4">
        <v>1</v>
      </c>
      <c r="J8" s="3" t="s">
        <v>4</v>
      </c>
      <c r="K8" s="3" t="s">
        <v>4</v>
      </c>
      <c r="L8" s="3" t="s">
        <v>4</v>
      </c>
      <c r="M8" s="3" t="s">
        <v>98</v>
      </c>
      <c r="N8" s="3" t="s">
        <v>405</v>
      </c>
      <c r="O8" s="3" t="s">
        <v>289</v>
      </c>
    </row>
    <row r="9" spans="1:15" x14ac:dyDescent="0.25">
      <c r="A9" s="3" t="s">
        <v>239</v>
      </c>
      <c r="B9" s="3" t="s">
        <v>145</v>
      </c>
      <c r="C9" s="3" t="s">
        <v>146</v>
      </c>
      <c r="D9" s="3" t="s">
        <v>98</v>
      </c>
      <c r="E9" s="3" t="s">
        <v>240</v>
      </c>
      <c r="F9" s="3" t="s">
        <v>100</v>
      </c>
      <c r="G9" s="3">
        <v>0.45</v>
      </c>
      <c r="H9" s="3">
        <v>4</v>
      </c>
      <c r="I9" s="4">
        <v>0</v>
      </c>
      <c r="J9" s="3" t="s">
        <v>4</v>
      </c>
      <c r="K9" s="3" t="s">
        <v>4</v>
      </c>
      <c r="L9" s="3" t="s">
        <v>4</v>
      </c>
      <c r="M9" s="3" t="s">
        <v>98</v>
      </c>
      <c r="N9" s="3" t="s">
        <v>405</v>
      </c>
      <c r="O9" s="3" t="s">
        <v>289</v>
      </c>
    </row>
    <row r="10" spans="1:15" x14ac:dyDescent="0.25">
      <c r="A10" s="3" t="s">
        <v>251</v>
      </c>
      <c r="B10" s="3" t="s">
        <v>170</v>
      </c>
      <c r="C10" s="3" t="s">
        <v>171</v>
      </c>
      <c r="D10" s="3" t="s">
        <v>85</v>
      </c>
      <c r="E10" s="3" t="s">
        <v>252</v>
      </c>
      <c r="F10" s="3" t="s">
        <v>87</v>
      </c>
      <c r="G10" s="3">
        <v>0.2475</v>
      </c>
      <c r="H10" s="3">
        <v>3</v>
      </c>
      <c r="I10" s="4">
        <v>0</v>
      </c>
      <c r="J10" s="3" t="s">
        <v>4</v>
      </c>
      <c r="K10" s="3" t="s">
        <v>4</v>
      </c>
      <c r="L10" s="3" t="s">
        <v>4</v>
      </c>
      <c r="M10" s="3" t="s">
        <v>85</v>
      </c>
      <c r="N10" s="3" t="s">
        <v>405</v>
      </c>
      <c r="O10" s="3" t="s">
        <v>290</v>
      </c>
    </row>
    <row r="11" spans="1:15" x14ac:dyDescent="0.25">
      <c r="A11" s="3" t="s">
        <v>251</v>
      </c>
      <c r="B11" s="3" t="s">
        <v>170</v>
      </c>
      <c r="C11" s="3" t="s">
        <v>171</v>
      </c>
      <c r="D11" s="3" t="s">
        <v>85</v>
      </c>
      <c r="E11" s="3" t="s">
        <v>252</v>
      </c>
      <c r="F11" s="3" t="s">
        <v>87</v>
      </c>
      <c r="G11" s="3">
        <v>0.32500000000000001</v>
      </c>
      <c r="H11" s="3">
        <v>1</v>
      </c>
      <c r="I11" s="4">
        <v>1</v>
      </c>
      <c r="J11" s="3" t="s">
        <v>4</v>
      </c>
      <c r="K11" s="3" t="s">
        <v>4</v>
      </c>
      <c r="L11" s="3" t="s">
        <v>4</v>
      </c>
      <c r="M11" s="3" t="s">
        <v>85</v>
      </c>
      <c r="N11" s="3" t="s">
        <v>405</v>
      </c>
      <c r="O11" s="3" t="s">
        <v>290</v>
      </c>
    </row>
    <row r="12" spans="1:15" x14ac:dyDescent="0.25">
      <c r="A12" s="3" t="s">
        <v>255</v>
      </c>
      <c r="B12" s="3" t="s">
        <v>152</v>
      </c>
      <c r="C12" s="3" t="s">
        <v>153</v>
      </c>
      <c r="D12" s="3" t="s">
        <v>109</v>
      </c>
      <c r="E12" s="3" t="s">
        <v>256</v>
      </c>
      <c r="F12" s="3" t="s">
        <v>110</v>
      </c>
      <c r="G12" s="3">
        <v>0.55000000000000004</v>
      </c>
      <c r="H12" s="3">
        <v>3</v>
      </c>
      <c r="I12" s="4">
        <v>1</v>
      </c>
      <c r="J12" s="3" t="s">
        <v>4</v>
      </c>
      <c r="K12" s="3" t="s">
        <v>4</v>
      </c>
      <c r="L12" s="3" t="s">
        <v>4</v>
      </c>
      <c r="M12" s="3" t="s">
        <v>109</v>
      </c>
      <c r="N12" s="3" t="s">
        <v>405</v>
      </c>
      <c r="O12" s="3" t="s">
        <v>310</v>
      </c>
    </row>
    <row r="13" spans="1:15" x14ac:dyDescent="0.25">
      <c r="A13" s="3" t="s">
        <v>255</v>
      </c>
      <c r="B13" s="3" t="s">
        <v>152</v>
      </c>
      <c r="C13" s="3" t="s">
        <v>153</v>
      </c>
      <c r="D13" s="3" t="s">
        <v>109</v>
      </c>
      <c r="E13" s="3" t="s">
        <v>256</v>
      </c>
      <c r="F13" s="3" t="s">
        <v>110</v>
      </c>
      <c r="G13" s="3">
        <v>0.31709999999999999</v>
      </c>
      <c r="H13" s="3">
        <v>3</v>
      </c>
      <c r="I13" s="4">
        <v>0</v>
      </c>
      <c r="J13" s="3" t="s">
        <v>4</v>
      </c>
      <c r="K13" s="3" t="s">
        <v>4</v>
      </c>
      <c r="L13" s="3" t="s">
        <v>4</v>
      </c>
      <c r="M13" s="3" t="s">
        <v>109</v>
      </c>
      <c r="N13" s="3" t="s">
        <v>405</v>
      </c>
      <c r="O13" s="3" t="s">
        <v>310</v>
      </c>
    </row>
    <row r="14" spans="1:15" x14ac:dyDescent="0.25">
      <c r="A14" s="3" t="s">
        <v>243</v>
      </c>
      <c r="B14" s="3" t="s">
        <v>162</v>
      </c>
      <c r="C14" s="3" t="s">
        <v>163</v>
      </c>
      <c r="D14" s="3" t="s">
        <v>125</v>
      </c>
      <c r="E14" s="3" t="s">
        <v>244</v>
      </c>
      <c r="F14" s="3" t="s">
        <v>126</v>
      </c>
      <c r="G14" s="3">
        <v>0.4</v>
      </c>
      <c r="H14" s="3">
        <v>2</v>
      </c>
      <c r="I14" s="4">
        <v>1</v>
      </c>
      <c r="J14" s="3" t="s">
        <v>4</v>
      </c>
      <c r="K14" s="3" t="s">
        <v>4</v>
      </c>
      <c r="L14" s="3" t="s">
        <v>4</v>
      </c>
      <c r="M14" s="3" t="s">
        <v>125</v>
      </c>
      <c r="N14" s="3" t="s">
        <v>405</v>
      </c>
      <c r="O14" s="3" t="s">
        <v>312</v>
      </c>
    </row>
    <row r="15" spans="1:15" x14ac:dyDescent="0.25">
      <c r="A15" s="3" t="s">
        <v>243</v>
      </c>
      <c r="B15" s="3" t="s">
        <v>162</v>
      </c>
      <c r="C15" s="3" t="s">
        <v>163</v>
      </c>
      <c r="D15" s="3" t="s">
        <v>125</v>
      </c>
      <c r="E15" s="3" t="s">
        <v>244</v>
      </c>
      <c r="F15" s="3" t="s">
        <v>126</v>
      </c>
      <c r="G15" s="3">
        <v>0.14710000000000001</v>
      </c>
      <c r="H15" s="3">
        <v>5</v>
      </c>
      <c r="I15" s="4">
        <v>0</v>
      </c>
      <c r="J15" s="3" t="s">
        <v>4</v>
      </c>
      <c r="K15" s="3" t="s">
        <v>4</v>
      </c>
      <c r="L15" s="3" t="s">
        <v>4</v>
      </c>
      <c r="M15" s="3" t="s">
        <v>125</v>
      </c>
      <c r="N15" s="3" t="s">
        <v>405</v>
      </c>
      <c r="O15" s="3" t="s">
        <v>312</v>
      </c>
    </row>
    <row r="16" spans="1:15" x14ac:dyDescent="0.25">
      <c r="A16" s="3" t="s">
        <v>253</v>
      </c>
      <c r="B16" s="3" t="s">
        <v>162</v>
      </c>
      <c r="C16" s="3" t="s">
        <v>163</v>
      </c>
      <c r="D16" s="3" t="s">
        <v>53</v>
      </c>
      <c r="E16" s="3" t="s">
        <v>254</v>
      </c>
      <c r="F16" s="3" t="s">
        <v>55</v>
      </c>
      <c r="G16" s="3">
        <v>0.2407</v>
      </c>
      <c r="H16" s="3">
        <v>2</v>
      </c>
      <c r="I16" s="4">
        <v>0</v>
      </c>
      <c r="J16" s="3" t="s">
        <v>4</v>
      </c>
      <c r="K16" s="3" t="s">
        <v>4</v>
      </c>
      <c r="L16" s="3" t="s">
        <v>4</v>
      </c>
      <c r="M16" s="3" t="s">
        <v>53</v>
      </c>
      <c r="N16" s="3" t="s">
        <v>405</v>
      </c>
      <c r="O16" s="3" t="s">
        <v>313</v>
      </c>
    </row>
    <row r="17" spans="1:15" x14ac:dyDescent="0.25">
      <c r="A17" s="3" t="s">
        <v>253</v>
      </c>
      <c r="B17" s="3" t="s">
        <v>162</v>
      </c>
      <c r="C17" s="3" t="s">
        <v>163</v>
      </c>
      <c r="D17" s="3" t="s">
        <v>53</v>
      </c>
      <c r="E17" s="3" t="s">
        <v>254</v>
      </c>
      <c r="F17" s="3" t="s">
        <v>55</v>
      </c>
      <c r="G17" s="3">
        <v>0.67500000000000004</v>
      </c>
      <c r="H17" s="3">
        <v>4</v>
      </c>
      <c r="I17" s="4">
        <v>1</v>
      </c>
      <c r="J17" s="3" t="s">
        <v>4</v>
      </c>
      <c r="K17" s="3" t="s">
        <v>4</v>
      </c>
      <c r="L17" s="3" t="s">
        <v>4</v>
      </c>
      <c r="M17" s="3" t="s">
        <v>53</v>
      </c>
      <c r="N17" s="3" t="s">
        <v>405</v>
      </c>
      <c r="O17" s="3" t="s">
        <v>313</v>
      </c>
    </row>
    <row r="18" spans="1:15" x14ac:dyDescent="0.25">
      <c r="A18" s="3" t="s">
        <v>129</v>
      </c>
      <c r="B18" s="3" t="s">
        <v>35</v>
      </c>
      <c r="C18" s="3" t="s">
        <v>36</v>
      </c>
      <c r="D18" s="3" t="s">
        <v>125</v>
      </c>
      <c r="E18" s="3" t="s">
        <v>130</v>
      </c>
      <c r="F18" s="3" t="s">
        <v>126</v>
      </c>
      <c r="G18" s="3">
        <v>0.85</v>
      </c>
      <c r="H18" s="3">
        <v>0</v>
      </c>
      <c r="I18" s="4">
        <v>0</v>
      </c>
      <c r="J18" s="3" t="s">
        <v>4</v>
      </c>
      <c r="K18" s="3" t="s">
        <v>4</v>
      </c>
      <c r="L18" s="3" t="s">
        <v>4</v>
      </c>
      <c r="M18" s="3" t="s">
        <v>125</v>
      </c>
      <c r="N18" s="3" t="s">
        <v>405</v>
      </c>
      <c r="O18" s="3" t="s">
        <v>314</v>
      </c>
    </row>
    <row r="19" spans="1:15" x14ac:dyDescent="0.25">
      <c r="A19" s="3" t="s">
        <v>129</v>
      </c>
      <c r="B19" s="3" t="s">
        <v>35</v>
      </c>
      <c r="C19" s="3" t="s">
        <v>36</v>
      </c>
      <c r="D19" s="3" t="s">
        <v>125</v>
      </c>
      <c r="E19" s="3" t="s">
        <v>130</v>
      </c>
      <c r="F19" s="3" t="s">
        <v>126</v>
      </c>
      <c r="G19" s="3">
        <v>1.1000000000000001</v>
      </c>
      <c r="H19" s="3">
        <v>7</v>
      </c>
      <c r="I19" s="4">
        <v>1</v>
      </c>
      <c r="J19" s="3" t="s">
        <v>4</v>
      </c>
      <c r="K19" s="3" t="s">
        <v>4</v>
      </c>
      <c r="L19" s="3" t="s">
        <v>4</v>
      </c>
      <c r="M19" s="3" t="s">
        <v>125</v>
      </c>
      <c r="N19" s="3" t="s">
        <v>405</v>
      </c>
      <c r="O19" s="3" t="s">
        <v>314</v>
      </c>
    </row>
    <row r="20" spans="1:15" x14ac:dyDescent="0.25">
      <c r="A20" s="3" t="s">
        <v>52</v>
      </c>
      <c r="B20" s="3" t="s">
        <v>35</v>
      </c>
      <c r="C20" s="3" t="s">
        <v>36</v>
      </c>
      <c r="D20" s="3" t="s">
        <v>53</v>
      </c>
      <c r="E20" s="3" t="s">
        <v>54</v>
      </c>
      <c r="F20" s="3" t="s">
        <v>55</v>
      </c>
      <c r="G20" s="3">
        <v>1.4</v>
      </c>
      <c r="H20" s="3">
        <v>2</v>
      </c>
      <c r="I20" s="4">
        <v>0</v>
      </c>
      <c r="J20" s="3" t="s">
        <v>19</v>
      </c>
      <c r="K20" s="3" t="s">
        <v>4</v>
      </c>
      <c r="L20" s="3" t="s">
        <v>4</v>
      </c>
      <c r="M20" s="3" t="s">
        <v>53</v>
      </c>
      <c r="N20" s="3" t="s">
        <v>405</v>
      </c>
      <c r="O20" s="3" t="s">
        <v>315</v>
      </c>
    </row>
    <row r="21" spans="1:15" x14ac:dyDescent="0.25">
      <c r="A21" s="3" t="s">
        <v>52</v>
      </c>
      <c r="B21" s="3" t="s">
        <v>35</v>
      </c>
      <c r="C21" s="3" t="s">
        <v>36</v>
      </c>
      <c r="D21" s="3" t="s">
        <v>53</v>
      </c>
      <c r="E21" s="3" t="s">
        <v>54</v>
      </c>
      <c r="F21" s="3" t="s">
        <v>55</v>
      </c>
      <c r="G21" s="3">
        <v>1.8</v>
      </c>
      <c r="H21" s="3">
        <v>8</v>
      </c>
      <c r="I21" s="4">
        <v>1</v>
      </c>
      <c r="J21" s="3" t="s">
        <v>19</v>
      </c>
      <c r="K21" s="3" t="s">
        <v>4</v>
      </c>
      <c r="L21" s="3" t="s">
        <v>4</v>
      </c>
      <c r="M21" s="3" t="s">
        <v>53</v>
      </c>
      <c r="N21" s="3" t="s">
        <v>405</v>
      </c>
      <c r="O21" s="3" t="s">
        <v>315</v>
      </c>
    </row>
    <row r="22" spans="1:15" x14ac:dyDescent="0.25">
      <c r="A22" s="3" t="s">
        <v>218</v>
      </c>
      <c r="B22" s="3" t="s">
        <v>188</v>
      </c>
      <c r="C22" s="3" t="s">
        <v>171</v>
      </c>
      <c r="D22" s="3" t="s">
        <v>63</v>
      </c>
      <c r="E22" s="3" t="s">
        <v>219</v>
      </c>
      <c r="F22" s="3" t="s">
        <v>65</v>
      </c>
      <c r="G22" s="3">
        <v>0.61</v>
      </c>
      <c r="H22" s="3">
        <v>4</v>
      </c>
      <c r="I22" s="4">
        <v>1</v>
      </c>
      <c r="J22" s="3" t="s">
        <v>4</v>
      </c>
      <c r="K22" s="3" t="s">
        <v>4</v>
      </c>
      <c r="L22" s="3" t="s">
        <v>4</v>
      </c>
      <c r="M22" s="3" t="s">
        <v>63</v>
      </c>
      <c r="N22" s="3" t="s">
        <v>405</v>
      </c>
      <c r="O22" s="3" t="s">
        <v>317</v>
      </c>
    </row>
    <row r="23" spans="1:15" x14ac:dyDescent="0.25">
      <c r="A23" s="3" t="s">
        <v>218</v>
      </c>
      <c r="B23" s="3" t="s">
        <v>188</v>
      </c>
      <c r="C23" s="3" t="s">
        <v>171</v>
      </c>
      <c r="D23" s="3" t="s">
        <v>63</v>
      </c>
      <c r="E23" s="3" t="s">
        <v>219</v>
      </c>
      <c r="F23" s="3" t="s">
        <v>65</v>
      </c>
      <c r="G23" s="3">
        <v>0.315</v>
      </c>
      <c r="H23" s="3">
        <v>2</v>
      </c>
      <c r="I23" s="4">
        <v>0</v>
      </c>
      <c r="J23" s="3" t="s">
        <v>4</v>
      </c>
      <c r="K23" s="3" t="s">
        <v>4</v>
      </c>
      <c r="L23" s="3" t="s">
        <v>4</v>
      </c>
      <c r="M23" s="3" t="s">
        <v>63</v>
      </c>
      <c r="N23" s="3" t="s">
        <v>405</v>
      </c>
      <c r="O23" s="3" t="s">
        <v>317</v>
      </c>
    </row>
    <row r="24" spans="1:15" x14ac:dyDescent="0.25">
      <c r="A24" s="3" t="s">
        <v>231</v>
      </c>
      <c r="B24" s="3" t="s">
        <v>207</v>
      </c>
      <c r="C24" s="3" t="s">
        <v>171</v>
      </c>
      <c r="D24" s="3" t="s">
        <v>53</v>
      </c>
      <c r="E24" s="3" t="s">
        <v>232</v>
      </c>
      <c r="F24" s="3" t="s">
        <v>55</v>
      </c>
      <c r="G24" s="3">
        <v>0.38250000000000001</v>
      </c>
      <c r="H24" s="3">
        <v>0</v>
      </c>
      <c r="I24" s="4">
        <v>0</v>
      </c>
      <c r="J24" s="3" t="s">
        <v>4</v>
      </c>
      <c r="K24" s="3" t="s">
        <v>4</v>
      </c>
      <c r="L24" s="3" t="s">
        <v>4</v>
      </c>
      <c r="M24" s="3" t="s">
        <v>53</v>
      </c>
      <c r="N24" s="3" t="s">
        <v>405</v>
      </c>
      <c r="O24" s="3" t="s">
        <v>318</v>
      </c>
    </row>
    <row r="25" spans="1:15" x14ac:dyDescent="0.25">
      <c r="A25" s="3" t="s">
        <v>231</v>
      </c>
      <c r="B25" s="3" t="s">
        <v>207</v>
      </c>
      <c r="C25" s="3" t="s">
        <v>171</v>
      </c>
      <c r="D25" s="3" t="s">
        <v>53</v>
      </c>
      <c r="E25" s="3" t="s">
        <v>232</v>
      </c>
      <c r="F25" s="3" t="s">
        <v>55</v>
      </c>
      <c r="G25" s="3">
        <v>0.88500000000000001</v>
      </c>
      <c r="H25" s="3">
        <v>5</v>
      </c>
      <c r="I25" s="4">
        <v>1</v>
      </c>
      <c r="J25" s="3" t="s">
        <v>4</v>
      </c>
      <c r="K25" s="3" t="s">
        <v>4</v>
      </c>
      <c r="L25" s="3" t="s">
        <v>4</v>
      </c>
      <c r="M25" s="3" t="s">
        <v>53</v>
      </c>
      <c r="N25" s="3" t="s">
        <v>405</v>
      </c>
      <c r="O25" s="3" t="s">
        <v>318</v>
      </c>
    </row>
    <row r="26" spans="1:15" x14ac:dyDescent="0.25">
      <c r="A26" s="3" t="s">
        <v>216</v>
      </c>
      <c r="B26" s="3" t="s">
        <v>191</v>
      </c>
      <c r="C26" s="3" t="s">
        <v>153</v>
      </c>
      <c r="D26" s="3" t="s">
        <v>60</v>
      </c>
      <c r="E26" s="3" t="s">
        <v>217</v>
      </c>
      <c r="F26" s="3" t="s">
        <v>61</v>
      </c>
      <c r="G26" s="3">
        <v>0.3957</v>
      </c>
      <c r="H26" s="3">
        <v>5</v>
      </c>
      <c r="I26" s="4">
        <v>0</v>
      </c>
      <c r="J26" s="3" t="s">
        <v>4</v>
      </c>
      <c r="K26" s="3" t="s">
        <v>4</v>
      </c>
      <c r="L26" s="3" t="s">
        <v>4</v>
      </c>
      <c r="M26" s="3" t="s">
        <v>60</v>
      </c>
      <c r="N26" s="3" t="s">
        <v>405</v>
      </c>
      <c r="O26" s="3" t="s">
        <v>319</v>
      </c>
    </row>
    <row r="27" spans="1:15" x14ac:dyDescent="0.25">
      <c r="A27" s="3" t="s">
        <v>216</v>
      </c>
      <c r="B27" s="3" t="s">
        <v>191</v>
      </c>
      <c r="C27" s="3" t="s">
        <v>153</v>
      </c>
      <c r="D27" s="3" t="s">
        <v>60</v>
      </c>
      <c r="E27" s="3" t="s">
        <v>217</v>
      </c>
      <c r="F27" s="3" t="s">
        <v>61</v>
      </c>
      <c r="G27" s="3">
        <v>0.78</v>
      </c>
      <c r="H27" s="3">
        <v>5</v>
      </c>
      <c r="I27" s="4">
        <v>1</v>
      </c>
      <c r="J27" s="3" t="s">
        <v>4</v>
      </c>
      <c r="K27" s="3" t="s">
        <v>4</v>
      </c>
      <c r="L27" s="3" t="s">
        <v>4</v>
      </c>
      <c r="M27" s="3" t="s">
        <v>60</v>
      </c>
      <c r="N27" s="3" t="s">
        <v>405</v>
      </c>
      <c r="O27" s="3" t="s">
        <v>319</v>
      </c>
    </row>
    <row r="28" spans="1:15" x14ac:dyDescent="0.25">
      <c r="A28" s="3" t="s">
        <v>235</v>
      </c>
      <c r="B28" s="3" t="s">
        <v>191</v>
      </c>
      <c r="C28" s="3" t="s">
        <v>153</v>
      </c>
      <c r="D28" s="3" t="s">
        <v>72</v>
      </c>
      <c r="E28" s="3" t="s">
        <v>236</v>
      </c>
      <c r="F28" s="3" t="s">
        <v>73</v>
      </c>
      <c r="G28" s="3">
        <v>0.47420000000000001</v>
      </c>
      <c r="H28" s="3">
        <v>6</v>
      </c>
      <c r="I28" s="4">
        <v>0</v>
      </c>
      <c r="J28" s="3" t="s">
        <v>4</v>
      </c>
      <c r="K28" s="3" t="s">
        <v>4</v>
      </c>
      <c r="L28" s="3" t="s">
        <v>4</v>
      </c>
      <c r="M28" s="3" t="s">
        <v>72</v>
      </c>
      <c r="N28" s="3" t="s">
        <v>405</v>
      </c>
      <c r="O28" s="3" t="s">
        <v>320</v>
      </c>
    </row>
    <row r="29" spans="1:15" x14ac:dyDescent="0.25">
      <c r="A29" s="3" t="s">
        <v>235</v>
      </c>
      <c r="B29" s="3" t="s">
        <v>191</v>
      </c>
      <c r="C29" s="3" t="s">
        <v>153</v>
      </c>
      <c r="D29" s="3" t="s">
        <v>72</v>
      </c>
      <c r="E29" s="3" t="s">
        <v>236</v>
      </c>
      <c r="F29" s="3" t="s">
        <v>73</v>
      </c>
      <c r="G29" s="3">
        <v>1.02</v>
      </c>
      <c r="H29" s="3">
        <v>6</v>
      </c>
      <c r="I29" s="4">
        <v>1</v>
      </c>
      <c r="J29" s="3" t="s">
        <v>4</v>
      </c>
      <c r="K29" s="3" t="s">
        <v>4</v>
      </c>
      <c r="L29" s="3" t="s">
        <v>4</v>
      </c>
      <c r="M29" s="3" t="s">
        <v>72</v>
      </c>
      <c r="N29" s="3" t="s">
        <v>405</v>
      </c>
      <c r="O29" s="3" t="s">
        <v>320</v>
      </c>
    </row>
    <row r="30" spans="1:15" x14ac:dyDescent="0.25">
      <c r="A30" s="3" t="s">
        <v>80</v>
      </c>
      <c r="B30" s="3" t="s">
        <v>35</v>
      </c>
      <c r="C30" s="3" t="s">
        <v>36</v>
      </c>
      <c r="D30" s="3" t="s">
        <v>81</v>
      </c>
      <c r="E30" s="3" t="s">
        <v>82</v>
      </c>
      <c r="F30" s="3" t="s">
        <v>83</v>
      </c>
      <c r="G30" s="3">
        <v>2.65</v>
      </c>
      <c r="H30" s="3">
        <v>19</v>
      </c>
      <c r="I30" s="4">
        <v>1</v>
      </c>
      <c r="J30" s="3" t="s">
        <v>4</v>
      </c>
      <c r="K30" s="3" t="s">
        <v>4</v>
      </c>
      <c r="L30" s="3" t="s">
        <v>4</v>
      </c>
      <c r="M30" s="3" t="s">
        <v>81</v>
      </c>
      <c r="N30" s="3" t="s">
        <v>405</v>
      </c>
      <c r="O30" s="3" t="s">
        <v>321</v>
      </c>
    </row>
    <row r="31" spans="1:15" x14ac:dyDescent="0.25">
      <c r="A31" s="3" t="s">
        <v>80</v>
      </c>
      <c r="B31" s="3" t="s">
        <v>35</v>
      </c>
      <c r="C31" s="3" t="s">
        <v>36</v>
      </c>
      <c r="D31" s="3" t="s">
        <v>81</v>
      </c>
      <c r="E31" s="3" t="s">
        <v>82</v>
      </c>
      <c r="F31" s="3" t="s">
        <v>83</v>
      </c>
      <c r="G31" s="3">
        <v>1.95</v>
      </c>
      <c r="H31" s="3">
        <v>2</v>
      </c>
      <c r="I31" s="4">
        <v>0</v>
      </c>
      <c r="J31" s="3" t="s">
        <v>4</v>
      </c>
      <c r="K31" s="3" t="s">
        <v>4</v>
      </c>
      <c r="L31" s="3" t="s">
        <v>4</v>
      </c>
      <c r="M31" s="3" t="s">
        <v>81</v>
      </c>
      <c r="N31" s="3" t="s">
        <v>405</v>
      </c>
      <c r="O31" s="3" t="s">
        <v>321</v>
      </c>
    </row>
    <row r="32" spans="1:15" x14ac:dyDescent="0.25">
      <c r="A32" s="3" t="s">
        <v>214</v>
      </c>
      <c r="B32" s="3" t="s">
        <v>191</v>
      </c>
      <c r="C32" s="3" t="s">
        <v>36</v>
      </c>
      <c r="D32" s="3" t="s">
        <v>47</v>
      </c>
      <c r="E32" s="3" t="s">
        <v>215</v>
      </c>
      <c r="F32" s="3" t="s">
        <v>49</v>
      </c>
      <c r="G32" s="3">
        <v>3.45</v>
      </c>
      <c r="H32" s="3">
        <v>20</v>
      </c>
      <c r="I32" s="4">
        <v>1</v>
      </c>
      <c r="J32" s="3" t="s">
        <v>4</v>
      </c>
      <c r="K32" s="3" t="s">
        <v>4</v>
      </c>
      <c r="L32" s="3" t="s">
        <v>4</v>
      </c>
      <c r="M32" s="3" t="s">
        <v>47</v>
      </c>
      <c r="N32" s="3" t="s">
        <v>405</v>
      </c>
      <c r="O32" s="3" t="s">
        <v>322</v>
      </c>
    </row>
    <row r="33" spans="1:15" x14ac:dyDescent="0.25">
      <c r="A33" s="3" t="s">
        <v>214</v>
      </c>
      <c r="B33" s="3" t="s">
        <v>191</v>
      </c>
      <c r="C33" s="3" t="s">
        <v>36</v>
      </c>
      <c r="D33" s="3" t="s">
        <v>47</v>
      </c>
      <c r="E33" s="3" t="s">
        <v>215</v>
      </c>
      <c r="F33" s="3" t="s">
        <v>49</v>
      </c>
      <c r="G33" s="3">
        <v>2.5</v>
      </c>
      <c r="H33" s="3">
        <v>6</v>
      </c>
      <c r="I33" s="4">
        <v>0</v>
      </c>
      <c r="J33" s="3" t="s">
        <v>4</v>
      </c>
      <c r="K33" s="3" t="s">
        <v>4</v>
      </c>
      <c r="L33" s="3" t="s">
        <v>4</v>
      </c>
      <c r="M33" s="3" t="s">
        <v>47</v>
      </c>
      <c r="N33" s="3" t="s">
        <v>405</v>
      </c>
      <c r="O33" s="3" t="s">
        <v>322</v>
      </c>
    </row>
    <row r="34" spans="1:15" x14ac:dyDescent="0.25">
      <c r="A34" s="3" t="s">
        <v>241</v>
      </c>
      <c r="B34" s="3" t="s">
        <v>207</v>
      </c>
      <c r="C34" s="3" t="s">
        <v>171</v>
      </c>
      <c r="D34" s="3" t="s">
        <v>75</v>
      </c>
      <c r="E34" s="3" t="s">
        <v>242</v>
      </c>
      <c r="F34" s="3" t="s">
        <v>77</v>
      </c>
      <c r="G34" s="3">
        <v>1.1599999999999999</v>
      </c>
      <c r="H34" s="3">
        <v>6</v>
      </c>
      <c r="I34" s="4">
        <v>1</v>
      </c>
      <c r="J34" s="3" t="s">
        <v>4</v>
      </c>
      <c r="K34" s="3" t="s">
        <v>4</v>
      </c>
      <c r="L34" s="3" t="s">
        <v>4</v>
      </c>
      <c r="M34" s="3" t="s">
        <v>75</v>
      </c>
      <c r="N34" s="3" t="s">
        <v>405</v>
      </c>
      <c r="O34" s="3" t="s">
        <v>323</v>
      </c>
    </row>
    <row r="35" spans="1:15" x14ac:dyDescent="0.25">
      <c r="A35" s="3" t="s">
        <v>241</v>
      </c>
      <c r="B35" s="3" t="s">
        <v>207</v>
      </c>
      <c r="C35" s="3" t="s">
        <v>171</v>
      </c>
      <c r="D35" s="3" t="s">
        <v>75</v>
      </c>
      <c r="E35" s="3" t="s">
        <v>242</v>
      </c>
      <c r="F35" s="3" t="s">
        <v>77</v>
      </c>
      <c r="G35" s="3">
        <v>0.45</v>
      </c>
      <c r="H35" s="3">
        <v>0</v>
      </c>
      <c r="I35" s="4">
        <v>0</v>
      </c>
      <c r="J35" s="3" t="s">
        <v>4</v>
      </c>
      <c r="K35" s="3" t="s">
        <v>4</v>
      </c>
      <c r="L35" s="3" t="s">
        <v>4</v>
      </c>
      <c r="M35" s="3" t="s">
        <v>75</v>
      </c>
      <c r="N35" s="3" t="s">
        <v>405</v>
      </c>
      <c r="O35" s="3" t="s">
        <v>323</v>
      </c>
    </row>
    <row r="36" spans="1:15" x14ac:dyDescent="0.25">
      <c r="A36" s="3" t="s">
        <v>220</v>
      </c>
      <c r="B36" s="3" t="s">
        <v>191</v>
      </c>
      <c r="C36" s="3" t="s">
        <v>153</v>
      </c>
      <c r="D36" s="3" t="s">
        <v>63</v>
      </c>
      <c r="E36" s="3" t="s">
        <v>221</v>
      </c>
      <c r="F36" s="3" t="s">
        <v>65</v>
      </c>
      <c r="G36" s="3">
        <v>0.55279999999999996</v>
      </c>
      <c r="H36" s="3">
        <v>9</v>
      </c>
      <c r="I36" s="4">
        <v>0</v>
      </c>
      <c r="J36" s="3" t="s">
        <v>4</v>
      </c>
      <c r="K36" s="3" t="s">
        <v>4</v>
      </c>
      <c r="L36" s="3" t="s">
        <v>4</v>
      </c>
      <c r="M36" s="3" t="s">
        <v>63</v>
      </c>
      <c r="N36" s="3" t="s">
        <v>405</v>
      </c>
      <c r="O36" s="3" t="s">
        <v>324</v>
      </c>
    </row>
    <row r="37" spans="1:15" x14ac:dyDescent="0.25">
      <c r="A37" s="3" t="s">
        <v>220</v>
      </c>
      <c r="B37" s="3" t="s">
        <v>191</v>
      </c>
      <c r="C37" s="3" t="s">
        <v>153</v>
      </c>
      <c r="D37" s="3" t="s">
        <v>63</v>
      </c>
      <c r="E37" s="3" t="s">
        <v>221</v>
      </c>
      <c r="F37" s="3" t="s">
        <v>65</v>
      </c>
      <c r="G37" s="3">
        <v>1.2649999999999999</v>
      </c>
      <c r="H37" s="3">
        <v>9</v>
      </c>
      <c r="I37" s="4">
        <v>1</v>
      </c>
      <c r="J37" s="3" t="s">
        <v>4</v>
      </c>
      <c r="K37" s="3" t="s">
        <v>4</v>
      </c>
      <c r="L37" s="3" t="s">
        <v>4</v>
      </c>
      <c r="M37" s="3" t="s">
        <v>63</v>
      </c>
      <c r="N37" s="3" t="s">
        <v>405</v>
      </c>
      <c r="O37" s="3" t="s">
        <v>324</v>
      </c>
    </row>
    <row r="38" spans="1:15" x14ac:dyDescent="0.25">
      <c r="A38" s="3" t="s">
        <v>228</v>
      </c>
      <c r="B38" s="3" t="s">
        <v>198</v>
      </c>
      <c r="C38" s="3" t="s">
        <v>229</v>
      </c>
      <c r="D38" s="3" t="s">
        <v>78</v>
      </c>
      <c r="E38" s="3" t="s">
        <v>230</v>
      </c>
      <c r="F38" s="3" t="s">
        <v>79</v>
      </c>
      <c r="G38" s="3">
        <v>0.09</v>
      </c>
      <c r="H38" s="3">
        <v>0.5</v>
      </c>
      <c r="I38" s="4">
        <v>1</v>
      </c>
      <c r="J38" s="3" t="s">
        <v>4</v>
      </c>
      <c r="K38" s="3" t="s">
        <v>4</v>
      </c>
      <c r="L38" s="3" t="s">
        <v>4</v>
      </c>
      <c r="M38" s="3" t="s">
        <v>78</v>
      </c>
      <c r="N38" s="3" t="s">
        <v>405</v>
      </c>
      <c r="O38" s="3" t="s">
        <v>325</v>
      </c>
    </row>
    <row r="39" spans="1:15" x14ac:dyDescent="0.25">
      <c r="A39" s="3" t="s">
        <v>247</v>
      </c>
      <c r="B39" s="3" t="s">
        <v>188</v>
      </c>
      <c r="C39" s="3" t="s">
        <v>171</v>
      </c>
      <c r="D39" s="3" t="s">
        <v>81</v>
      </c>
      <c r="E39" s="3" t="s">
        <v>248</v>
      </c>
      <c r="F39" s="3" t="s">
        <v>83</v>
      </c>
      <c r="G39" s="3">
        <v>0.51749999999999996</v>
      </c>
      <c r="H39" s="3">
        <v>3</v>
      </c>
      <c r="I39" s="4">
        <v>0</v>
      </c>
      <c r="J39" s="3" t="s">
        <v>4</v>
      </c>
      <c r="K39" s="3" t="s">
        <v>4</v>
      </c>
      <c r="L39" s="3" t="s">
        <v>4</v>
      </c>
      <c r="M39" s="3" t="s">
        <v>81</v>
      </c>
      <c r="N39" s="3" t="s">
        <v>405</v>
      </c>
      <c r="O39" s="3" t="s">
        <v>326</v>
      </c>
    </row>
    <row r="40" spans="1:15" x14ac:dyDescent="0.25">
      <c r="A40" s="3" t="s">
        <v>247</v>
      </c>
      <c r="B40" s="3" t="s">
        <v>188</v>
      </c>
      <c r="C40" s="3" t="s">
        <v>171</v>
      </c>
      <c r="D40" s="3" t="s">
        <v>81</v>
      </c>
      <c r="E40" s="3" t="s">
        <v>248</v>
      </c>
      <c r="F40" s="3" t="s">
        <v>83</v>
      </c>
      <c r="G40" s="3">
        <v>1.44</v>
      </c>
      <c r="H40" s="3">
        <v>8</v>
      </c>
      <c r="I40" s="4">
        <v>1</v>
      </c>
      <c r="J40" s="3" t="s">
        <v>4</v>
      </c>
      <c r="K40" s="3" t="s">
        <v>4</v>
      </c>
      <c r="L40" s="3" t="s">
        <v>4</v>
      </c>
      <c r="M40" s="3" t="s">
        <v>81</v>
      </c>
      <c r="N40" s="3" t="s">
        <v>405</v>
      </c>
      <c r="O40" s="3" t="s">
        <v>326</v>
      </c>
    </row>
    <row r="41" spans="1:15" x14ac:dyDescent="0.25">
      <c r="A41" s="3" t="s">
        <v>249</v>
      </c>
      <c r="B41" s="3" t="s">
        <v>191</v>
      </c>
      <c r="C41" s="3" t="s">
        <v>153</v>
      </c>
      <c r="D41" s="3" t="s">
        <v>85</v>
      </c>
      <c r="E41" s="3" t="s">
        <v>250</v>
      </c>
      <c r="F41" s="3" t="s">
        <v>87</v>
      </c>
      <c r="G41" s="3">
        <v>1.49</v>
      </c>
      <c r="H41" s="3">
        <v>11</v>
      </c>
      <c r="I41" s="4">
        <v>1</v>
      </c>
      <c r="J41" s="3" t="s">
        <v>4</v>
      </c>
      <c r="K41" s="3" t="s">
        <v>4</v>
      </c>
      <c r="L41" s="3" t="s">
        <v>4</v>
      </c>
      <c r="M41" s="3" t="s">
        <v>85</v>
      </c>
      <c r="N41" s="3" t="s">
        <v>405</v>
      </c>
      <c r="O41" s="3" t="s">
        <v>327</v>
      </c>
    </row>
    <row r="42" spans="1:15" x14ac:dyDescent="0.25">
      <c r="A42" s="3" t="s">
        <v>249</v>
      </c>
      <c r="B42" s="3" t="s">
        <v>191</v>
      </c>
      <c r="C42" s="3" t="s">
        <v>153</v>
      </c>
      <c r="D42" s="3" t="s">
        <v>85</v>
      </c>
      <c r="E42" s="3" t="s">
        <v>250</v>
      </c>
      <c r="F42" s="3" t="s">
        <v>87</v>
      </c>
      <c r="G42" s="3">
        <v>0.63139999999999996</v>
      </c>
      <c r="H42" s="3">
        <v>11</v>
      </c>
      <c r="I42" s="4">
        <v>0</v>
      </c>
      <c r="J42" s="3" t="s">
        <v>4</v>
      </c>
      <c r="K42" s="3" t="s">
        <v>4</v>
      </c>
      <c r="L42" s="3" t="s">
        <v>4</v>
      </c>
      <c r="M42" s="3" t="s">
        <v>85</v>
      </c>
      <c r="N42" s="3" t="s">
        <v>405</v>
      </c>
      <c r="O42" s="3" t="s">
        <v>327</v>
      </c>
    </row>
    <row r="43" spans="1:15" x14ac:dyDescent="0.25">
      <c r="A43" s="3" t="s">
        <v>127</v>
      </c>
      <c r="B43" s="3" t="s">
        <v>35</v>
      </c>
      <c r="C43" s="3" t="s">
        <v>36</v>
      </c>
      <c r="D43" s="3" t="s">
        <v>125</v>
      </c>
      <c r="E43" s="3" t="s">
        <v>128</v>
      </c>
      <c r="F43" s="3" t="s">
        <v>126</v>
      </c>
      <c r="G43" s="3">
        <v>4.2</v>
      </c>
      <c r="H43" s="3">
        <v>29</v>
      </c>
      <c r="I43" s="4">
        <v>1</v>
      </c>
      <c r="J43" s="3" t="s">
        <v>4</v>
      </c>
      <c r="K43" s="3" t="s">
        <v>4</v>
      </c>
      <c r="L43" s="3" t="s">
        <v>4</v>
      </c>
      <c r="M43" s="3" t="s">
        <v>125</v>
      </c>
      <c r="N43" s="3" t="s">
        <v>405</v>
      </c>
      <c r="O43" s="3" t="s">
        <v>328</v>
      </c>
    </row>
    <row r="44" spans="1:15" x14ac:dyDescent="0.25">
      <c r="A44" s="3" t="s">
        <v>127</v>
      </c>
      <c r="B44" s="3" t="s">
        <v>35</v>
      </c>
      <c r="C44" s="3" t="s">
        <v>36</v>
      </c>
      <c r="D44" s="3" t="s">
        <v>125</v>
      </c>
      <c r="E44" s="3" t="s">
        <v>128</v>
      </c>
      <c r="F44" s="3" t="s">
        <v>126</v>
      </c>
      <c r="G44" s="3">
        <v>3.05</v>
      </c>
      <c r="H44" s="3">
        <v>5</v>
      </c>
      <c r="I44" s="4">
        <v>0</v>
      </c>
      <c r="J44" s="3" t="s">
        <v>4</v>
      </c>
      <c r="K44" s="3" t="s">
        <v>4</v>
      </c>
      <c r="L44" s="3" t="s">
        <v>4</v>
      </c>
      <c r="M44" s="3" t="s">
        <v>125</v>
      </c>
      <c r="N44" s="3" t="s">
        <v>405</v>
      </c>
      <c r="O44" s="3" t="s">
        <v>328</v>
      </c>
    </row>
    <row r="45" spans="1:15" x14ac:dyDescent="0.25">
      <c r="A45" s="3" t="s">
        <v>34</v>
      </c>
      <c r="B45" s="3" t="s">
        <v>35</v>
      </c>
      <c r="C45" s="3" t="s">
        <v>36</v>
      </c>
      <c r="D45" s="3" t="s">
        <v>37</v>
      </c>
      <c r="E45" s="3" t="s">
        <v>38</v>
      </c>
      <c r="F45" s="3" t="s">
        <v>39</v>
      </c>
      <c r="G45" s="3">
        <v>3.6</v>
      </c>
      <c r="H45" s="3">
        <v>4</v>
      </c>
      <c r="I45" s="4">
        <v>0</v>
      </c>
      <c r="J45" s="3" t="s">
        <v>4</v>
      </c>
      <c r="K45" s="3" t="s">
        <v>4</v>
      </c>
      <c r="L45" s="3" t="s">
        <v>4</v>
      </c>
      <c r="M45" s="3" t="s">
        <v>37</v>
      </c>
      <c r="N45" s="3" t="s">
        <v>405</v>
      </c>
      <c r="O45" s="3" t="s">
        <v>329</v>
      </c>
    </row>
    <row r="46" spans="1:15" x14ac:dyDescent="0.25">
      <c r="A46" s="3" t="s">
        <v>34</v>
      </c>
      <c r="B46" s="3" t="s">
        <v>35</v>
      </c>
      <c r="C46" s="3" t="s">
        <v>36</v>
      </c>
      <c r="D46" s="3" t="s">
        <v>37</v>
      </c>
      <c r="E46" s="3" t="s">
        <v>38</v>
      </c>
      <c r="F46" s="3" t="s">
        <v>39</v>
      </c>
      <c r="G46" s="3">
        <v>5</v>
      </c>
      <c r="H46" s="3">
        <v>30</v>
      </c>
      <c r="I46" s="4">
        <v>1</v>
      </c>
      <c r="J46" s="3" t="s">
        <v>4</v>
      </c>
      <c r="K46" s="3" t="s">
        <v>4</v>
      </c>
      <c r="L46" s="3" t="s">
        <v>4</v>
      </c>
      <c r="M46" s="3" t="s">
        <v>37</v>
      </c>
      <c r="N46" s="3" t="s">
        <v>405</v>
      </c>
      <c r="O46" s="3" t="s">
        <v>329</v>
      </c>
    </row>
    <row r="47" spans="1:15" x14ac:dyDescent="0.25">
      <c r="A47" s="3" t="s">
        <v>233</v>
      </c>
      <c r="B47" s="3" t="s">
        <v>188</v>
      </c>
      <c r="C47" s="3" t="s">
        <v>171</v>
      </c>
      <c r="D47" s="3" t="s">
        <v>63</v>
      </c>
      <c r="E47" s="3" t="s">
        <v>234</v>
      </c>
      <c r="F47" s="3" t="s">
        <v>65</v>
      </c>
      <c r="G47" s="3">
        <v>0.58499999999999996</v>
      </c>
      <c r="H47" s="3">
        <v>2</v>
      </c>
      <c r="I47" s="4">
        <v>0</v>
      </c>
      <c r="J47" s="3" t="s">
        <v>4</v>
      </c>
      <c r="K47" s="3" t="s">
        <v>4</v>
      </c>
      <c r="L47" s="3" t="s">
        <v>4</v>
      </c>
      <c r="M47" s="3" t="s">
        <v>63</v>
      </c>
      <c r="N47" s="3" t="s">
        <v>405</v>
      </c>
      <c r="O47" s="3" t="s">
        <v>330</v>
      </c>
    </row>
    <row r="48" spans="1:15" x14ac:dyDescent="0.25">
      <c r="A48" s="3" t="s">
        <v>233</v>
      </c>
      <c r="B48" s="3" t="s">
        <v>188</v>
      </c>
      <c r="C48" s="3" t="s">
        <v>171</v>
      </c>
      <c r="D48" s="3" t="s">
        <v>63</v>
      </c>
      <c r="E48" s="3" t="s">
        <v>234</v>
      </c>
      <c r="F48" s="3" t="s">
        <v>65</v>
      </c>
      <c r="G48" s="3">
        <v>1.73</v>
      </c>
      <c r="H48" s="3">
        <v>9</v>
      </c>
      <c r="I48" s="4">
        <v>1</v>
      </c>
      <c r="J48" s="3" t="s">
        <v>4</v>
      </c>
      <c r="K48" s="3" t="s">
        <v>4</v>
      </c>
      <c r="L48" s="3" t="s">
        <v>4</v>
      </c>
      <c r="M48" s="3" t="s">
        <v>63</v>
      </c>
      <c r="N48" s="3" t="s">
        <v>405</v>
      </c>
      <c r="O48" s="3" t="s">
        <v>330</v>
      </c>
    </row>
    <row r="49" spans="1:15" x14ac:dyDescent="0.25">
      <c r="A49" s="3" t="s">
        <v>105</v>
      </c>
      <c r="B49" s="3" t="s">
        <v>35</v>
      </c>
      <c r="C49" s="3" t="s">
        <v>36</v>
      </c>
      <c r="D49" s="3" t="s">
        <v>78</v>
      </c>
      <c r="E49" s="3" t="s">
        <v>106</v>
      </c>
      <c r="F49" s="3" t="s">
        <v>79</v>
      </c>
      <c r="G49" s="3">
        <v>4.1500000000000004</v>
      </c>
      <c r="H49" s="3">
        <v>0</v>
      </c>
      <c r="I49" s="4">
        <v>0</v>
      </c>
      <c r="J49" s="3" t="s">
        <v>4</v>
      </c>
      <c r="K49" s="3" t="s">
        <v>4</v>
      </c>
      <c r="L49" s="3" t="s">
        <v>4</v>
      </c>
      <c r="M49" s="3" t="s">
        <v>78</v>
      </c>
      <c r="N49" s="3" t="s">
        <v>405</v>
      </c>
      <c r="O49" s="3" t="s">
        <v>331</v>
      </c>
    </row>
    <row r="50" spans="1:15" x14ac:dyDescent="0.25">
      <c r="A50" s="3" t="s">
        <v>105</v>
      </c>
      <c r="B50" s="3" t="s">
        <v>35</v>
      </c>
      <c r="C50" s="3" t="s">
        <v>36</v>
      </c>
      <c r="D50" s="3" t="s">
        <v>78</v>
      </c>
      <c r="E50" s="3" t="s">
        <v>106</v>
      </c>
      <c r="F50" s="3" t="s">
        <v>79</v>
      </c>
      <c r="G50" s="3">
        <v>5.75</v>
      </c>
      <c r="H50" s="3">
        <v>31</v>
      </c>
      <c r="I50" s="4">
        <v>1</v>
      </c>
      <c r="J50" s="3" t="s">
        <v>4</v>
      </c>
      <c r="K50" s="3" t="s">
        <v>4</v>
      </c>
      <c r="L50" s="3" t="s">
        <v>4</v>
      </c>
      <c r="M50" s="3" t="s">
        <v>78</v>
      </c>
      <c r="N50" s="3" t="s">
        <v>405</v>
      </c>
      <c r="O50" s="3" t="s">
        <v>331</v>
      </c>
    </row>
    <row r="51" spans="1:15" x14ac:dyDescent="0.25">
      <c r="A51" s="3" t="s">
        <v>101</v>
      </c>
      <c r="B51" s="3" t="s">
        <v>35</v>
      </c>
      <c r="C51" s="3" t="s">
        <v>36</v>
      </c>
      <c r="D51" s="3" t="s">
        <v>78</v>
      </c>
      <c r="E51" s="3" t="s">
        <v>102</v>
      </c>
      <c r="F51" s="3" t="s">
        <v>79</v>
      </c>
      <c r="G51" s="3">
        <v>6.55</v>
      </c>
      <c r="H51" s="3">
        <v>34</v>
      </c>
      <c r="I51" s="4">
        <v>1</v>
      </c>
      <c r="J51" s="3" t="s">
        <v>4</v>
      </c>
      <c r="K51" s="3" t="s">
        <v>4</v>
      </c>
      <c r="L51" s="3" t="s">
        <v>4</v>
      </c>
      <c r="M51" s="3" t="s">
        <v>78</v>
      </c>
      <c r="N51" s="3" t="s">
        <v>405</v>
      </c>
      <c r="O51" s="3" t="s">
        <v>332</v>
      </c>
    </row>
    <row r="52" spans="1:15" x14ac:dyDescent="0.25">
      <c r="A52" s="3" t="s">
        <v>101</v>
      </c>
      <c r="B52" s="3" t="s">
        <v>35</v>
      </c>
      <c r="C52" s="3" t="s">
        <v>36</v>
      </c>
      <c r="D52" s="3" t="s">
        <v>78</v>
      </c>
      <c r="E52" s="3" t="s">
        <v>102</v>
      </c>
      <c r="F52" s="3" t="s">
        <v>79</v>
      </c>
      <c r="G52" s="3">
        <v>4.7</v>
      </c>
      <c r="H52" s="3">
        <v>3</v>
      </c>
      <c r="I52" s="4">
        <v>0</v>
      </c>
      <c r="J52" s="3" t="s">
        <v>4</v>
      </c>
      <c r="K52" s="3" t="s">
        <v>4</v>
      </c>
      <c r="L52" s="3" t="s">
        <v>4</v>
      </c>
      <c r="M52" s="3" t="s">
        <v>78</v>
      </c>
      <c r="N52" s="3" t="s">
        <v>405</v>
      </c>
      <c r="O52" s="3" t="s">
        <v>332</v>
      </c>
    </row>
    <row r="53" spans="1:15" x14ac:dyDescent="0.25">
      <c r="A53" s="3" t="s">
        <v>245</v>
      </c>
      <c r="B53" s="3" t="s">
        <v>162</v>
      </c>
      <c r="C53" s="3" t="s">
        <v>163</v>
      </c>
      <c r="D53" s="3" t="s">
        <v>125</v>
      </c>
      <c r="E53" s="3" t="s">
        <v>246</v>
      </c>
      <c r="F53" s="3" t="s">
        <v>126</v>
      </c>
      <c r="G53" s="3">
        <v>0.3342</v>
      </c>
      <c r="H53" s="3">
        <v>2</v>
      </c>
      <c r="I53" s="4">
        <v>0</v>
      </c>
      <c r="J53" s="3" t="s">
        <v>4</v>
      </c>
      <c r="K53" s="3" t="s">
        <v>4</v>
      </c>
      <c r="L53" s="3" t="s">
        <v>4</v>
      </c>
      <c r="M53" s="3" t="s">
        <v>125</v>
      </c>
      <c r="N53" s="3" t="s">
        <v>405</v>
      </c>
      <c r="O53" s="3" t="s">
        <v>333</v>
      </c>
    </row>
    <row r="54" spans="1:15" x14ac:dyDescent="0.25">
      <c r="A54" s="3" t="s">
        <v>245</v>
      </c>
      <c r="B54" s="3" t="s">
        <v>162</v>
      </c>
      <c r="C54" s="3" t="s">
        <v>163</v>
      </c>
      <c r="D54" s="3" t="s">
        <v>125</v>
      </c>
      <c r="E54" s="3" t="s">
        <v>246</v>
      </c>
      <c r="F54" s="3" t="s">
        <v>126</v>
      </c>
      <c r="G54" s="3">
        <v>0.95</v>
      </c>
      <c r="H54" s="3">
        <v>11</v>
      </c>
      <c r="I54" s="4">
        <v>1</v>
      </c>
      <c r="J54" s="3" t="s">
        <v>4</v>
      </c>
      <c r="K54" s="3" t="s">
        <v>4</v>
      </c>
      <c r="L54" s="3" t="s">
        <v>4</v>
      </c>
      <c r="M54" s="3" t="s">
        <v>125</v>
      </c>
      <c r="N54" s="3" t="s">
        <v>405</v>
      </c>
      <c r="O54" s="3" t="s">
        <v>333</v>
      </c>
    </row>
    <row r="55" spans="1:15" x14ac:dyDescent="0.25">
      <c r="A55" s="3" t="s">
        <v>257</v>
      </c>
      <c r="B55" s="3" t="s">
        <v>207</v>
      </c>
      <c r="C55" s="3" t="s">
        <v>171</v>
      </c>
      <c r="D55" s="3" t="s">
        <v>125</v>
      </c>
      <c r="E55" s="3" t="s">
        <v>258</v>
      </c>
      <c r="F55" s="3" t="s">
        <v>126</v>
      </c>
      <c r="G55" s="3">
        <v>2</v>
      </c>
      <c r="H55" s="3">
        <v>10</v>
      </c>
      <c r="I55" s="4">
        <v>1</v>
      </c>
      <c r="J55" s="3" t="s">
        <v>4</v>
      </c>
      <c r="K55" s="3" t="s">
        <v>4</v>
      </c>
      <c r="L55" s="3" t="s">
        <v>4</v>
      </c>
      <c r="M55" s="3" t="s">
        <v>125</v>
      </c>
      <c r="N55" s="3" t="s">
        <v>405</v>
      </c>
      <c r="O55" s="3" t="s">
        <v>334</v>
      </c>
    </row>
    <row r="56" spans="1:15" x14ac:dyDescent="0.25">
      <c r="A56" s="3" t="s">
        <v>257</v>
      </c>
      <c r="B56" s="3" t="s">
        <v>207</v>
      </c>
      <c r="C56" s="3" t="s">
        <v>171</v>
      </c>
      <c r="D56" s="3" t="s">
        <v>125</v>
      </c>
      <c r="E56" s="3" t="s">
        <v>258</v>
      </c>
      <c r="F56" s="3" t="s">
        <v>126</v>
      </c>
      <c r="G56" s="3">
        <v>0.65249999999999997</v>
      </c>
      <c r="H56" s="3">
        <v>5</v>
      </c>
      <c r="I56" s="4">
        <v>0</v>
      </c>
      <c r="J56" s="3" t="s">
        <v>4</v>
      </c>
      <c r="K56" s="3" t="s">
        <v>4</v>
      </c>
      <c r="L56" s="3" t="s">
        <v>4</v>
      </c>
      <c r="M56" s="3" t="s">
        <v>125</v>
      </c>
      <c r="N56" s="3" t="s">
        <v>405</v>
      </c>
      <c r="O56" s="3" t="s">
        <v>334</v>
      </c>
    </row>
    <row r="57" spans="1:15" x14ac:dyDescent="0.25">
      <c r="A57" s="3" t="s">
        <v>224</v>
      </c>
      <c r="B57" s="3" t="s">
        <v>162</v>
      </c>
      <c r="C57" s="3" t="s">
        <v>163</v>
      </c>
      <c r="D57" s="3" t="s">
        <v>75</v>
      </c>
      <c r="E57" s="3" t="s">
        <v>225</v>
      </c>
      <c r="F57" s="3" t="s">
        <v>77</v>
      </c>
      <c r="G57" s="3">
        <v>0.42780000000000001</v>
      </c>
      <c r="H57" s="3">
        <v>6</v>
      </c>
      <c r="I57" s="4">
        <v>0</v>
      </c>
      <c r="J57" s="3" t="s">
        <v>4</v>
      </c>
      <c r="K57" s="3" t="s">
        <v>4</v>
      </c>
      <c r="L57" s="3" t="s">
        <v>4</v>
      </c>
      <c r="M57" s="3" t="s">
        <v>75</v>
      </c>
      <c r="N57" s="3" t="s">
        <v>405</v>
      </c>
      <c r="O57" s="3" t="s">
        <v>335</v>
      </c>
    </row>
    <row r="58" spans="1:15" x14ac:dyDescent="0.25">
      <c r="A58" s="3" t="s">
        <v>224</v>
      </c>
      <c r="B58" s="3" t="s">
        <v>162</v>
      </c>
      <c r="C58" s="3" t="s">
        <v>163</v>
      </c>
      <c r="D58" s="3" t="s">
        <v>75</v>
      </c>
      <c r="E58" s="3" t="s">
        <v>225</v>
      </c>
      <c r="F58" s="3" t="s">
        <v>77</v>
      </c>
      <c r="G58" s="3">
        <v>1.2250000000000001</v>
      </c>
      <c r="H58" s="3">
        <v>12</v>
      </c>
      <c r="I58" s="4">
        <v>1</v>
      </c>
      <c r="J58" s="3" t="s">
        <v>4</v>
      </c>
      <c r="K58" s="3" t="s">
        <v>4</v>
      </c>
      <c r="L58" s="3" t="s">
        <v>4</v>
      </c>
      <c r="M58" s="3" t="s">
        <v>75</v>
      </c>
      <c r="N58" s="3" t="s">
        <v>405</v>
      </c>
      <c r="O58" s="3" t="s">
        <v>335</v>
      </c>
    </row>
    <row r="59" spans="1:15" x14ac:dyDescent="0.25">
      <c r="A59" s="3" t="s">
        <v>222</v>
      </c>
      <c r="B59" s="3" t="s">
        <v>162</v>
      </c>
      <c r="C59" s="3" t="s">
        <v>163</v>
      </c>
      <c r="D59" s="3" t="s">
        <v>75</v>
      </c>
      <c r="E59" s="3" t="s">
        <v>223</v>
      </c>
      <c r="F59" s="3" t="s">
        <v>77</v>
      </c>
      <c r="G59" s="3">
        <v>1.5</v>
      </c>
      <c r="H59" s="3">
        <v>13</v>
      </c>
      <c r="I59" s="4">
        <v>1</v>
      </c>
      <c r="J59" s="3" t="s">
        <v>4</v>
      </c>
      <c r="K59" s="3" t="s">
        <v>4</v>
      </c>
      <c r="L59" s="3" t="s">
        <v>4</v>
      </c>
      <c r="M59" s="3" t="s">
        <v>75</v>
      </c>
      <c r="N59" s="3" t="s">
        <v>405</v>
      </c>
      <c r="O59" s="3" t="s">
        <v>336</v>
      </c>
    </row>
    <row r="60" spans="1:15" x14ac:dyDescent="0.25">
      <c r="A60" s="3" t="s">
        <v>222</v>
      </c>
      <c r="B60" s="3" t="s">
        <v>162</v>
      </c>
      <c r="C60" s="3" t="s">
        <v>163</v>
      </c>
      <c r="D60" s="3" t="s">
        <v>75</v>
      </c>
      <c r="E60" s="3" t="s">
        <v>223</v>
      </c>
      <c r="F60" s="3" t="s">
        <v>77</v>
      </c>
      <c r="G60" s="3">
        <v>0.52139999999999997</v>
      </c>
      <c r="H60" s="3">
        <v>1</v>
      </c>
      <c r="I60" s="4">
        <v>0</v>
      </c>
      <c r="J60" s="3" t="s">
        <v>4</v>
      </c>
      <c r="K60" s="3" t="s">
        <v>4</v>
      </c>
      <c r="L60" s="3" t="s">
        <v>4</v>
      </c>
      <c r="M60" s="3" t="s">
        <v>75</v>
      </c>
      <c r="N60" s="3" t="s">
        <v>405</v>
      </c>
      <c r="O60" s="3" t="s">
        <v>336</v>
      </c>
    </row>
    <row r="61" spans="1:15" x14ac:dyDescent="0.25">
      <c r="A61" s="3" t="s">
        <v>197</v>
      </c>
      <c r="B61" s="3" t="s">
        <v>198</v>
      </c>
      <c r="C61" s="3" t="s">
        <v>153</v>
      </c>
      <c r="D61" s="3" t="s">
        <v>85</v>
      </c>
      <c r="E61" s="3" t="s">
        <v>199</v>
      </c>
      <c r="F61" s="3" t="s">
        <v>87</v>
      </c>
      <c r="G61" s="3">
        <v>0.73799999999999999</v>
      </c>
      <c r="H61" s="3">
        <v>2</v>
      </c>
      <c r="I61" s="4">
        <v>0</v>
      </c>
      <c r="J61" s="3" t="s">
        <v>7</v>
      </c>
      <c r="K61" s="3" t="s">
        <v>7</v>
      </c>
      <c r="L61" s="3" t="s">
        <v>7</v>
      </c>
      <c r="M61" s="3" t="s">
        <v>85</v>
      </c>
      <c r="N61" s="3" t="s">
        <v>406</v>
      </c>
      <c r="O61" s="3" t="s">
        <v>337</v>
      </c>
    </row>
    <row r="62" spans="1:15" x14ac:dyDescent="0.25">
      <c r="A62" s="3" t="s">
        <v>197</v>
      </c>
      <c r="B62" s="3" t="s">
        <v>198</v>
      </c>
      <c r="C62" s="3" t="s">
        <v>153</v>
      </c>
      <c r="D62" s="3" t="s">
        <v>85</v>
      </c>
      <c r="E62" s="3" t="s">
        <v>199</v>
      </c>
      <c r="F62" s="3" t="s">
        <v>87</v>
      </c>
      <c r="G62" s="3">
        <v>1.72</v>
      </c>
      <c r="H62" s="3">
        <v>2</v>
      </c>
      <c r="I62" s="4">
        <v>1</v>
      </c>
      <c r="J62" s="3" t="s">
        <v>7</v>
      </c>
      <c r="K62" s="3" t="s">
        <v>7</v>
      </c>
      <c r="L62" s="3" t="s">
        <v>7</v>
      </c>
      <c r="M62" s="3" t="s">
        <v>85</v>
      </c>
      <c r="N62" s="3" t="s">
        <v>406</v>
      </c>
      <c r="O62" s="3" t="s">
        <v>337</v>
      </c>
    </row>
    <row r="63" spans="1:15" x14ac:dyDescent="0.25">
      <c r="A63" s="3" t="s">
        <v>183</v>
      </c>
      <c r="B63" s="3" t="s">
        <v>162</v>
      </c>
      <c r="C63" s="3" t="s">
        <v>163</v>
      </c>
      <c r="D63" s="3" t="s">
        <v>114</v>
      </c>
      <c r="E63" s="3" t="s">
        <v>184</v>
      </c>
      <c r="F63" s="3" t="s">
        <v>116</v>
      </c>
      <c r="G63" s="3">
        <v>0.70299999999999996</v>
      </c>
      <c r="H63" s="3">
        <v>1</v>
      </c>
      <c r="I63" s="4">
        <v>0</v>
      </c>
      <c r="J63" s="3" t="s">
        <v>7</v>
      </c>
      <c r="K63" s="3" t="s">
        <v>7</v>
      </c>
      <c r="L63" s="3" t="s">
        <v>7</v>
      </c>
      <c r="M63" s="3" t="s">
        <v>114</v>
      </c>
      <c r="N63" s="3" t="s">
        <v>406</v>
      </c>
      <c r="O63" s="3" t="s">
        <v>338</v>
      </c>
    </row>
    <row r="64" spans="1:15" x14ac:dyDescent="0.25">
      <c r="A64" s="3" t="s">
        <v>183</v>
      </c>
      <c r="B64" s="3" t="s">
        <v>162</v>
      </c>
      <c r="C64" s="3" t="s">
        <v>163</v>
      </c>
      <c r="D64" s="3" t="s">
        <v>114</v>
      </c>
      <c r="E64" s="3" t="s">
        <v>184</v>
      </c>
      <c r="F64" s="3" t="s">
        <v>116</v>
      </c>
      <c r="G64" s="3">
        <v>1.7749999999999999</v>
      </c>
      <c r="H64" s="3">
        <v>5</v>
      </c>
      <c r="I64" s="4">
        <v>1</v>
      </c>
      <c r="J64" s="3" t="s">
        <v>7</v>
      </c>
      <c r="K64" s="3" t="s">
        <v>7</v>
      </c>
      <c r="L64" s="3" t="s">
        <v>7</v>
      </c>
      <c r="M64" s="3" t="s">
        <v>114</v>
      </c>
      <c r="N64" s="3" t="s">
        <v>406</v>
      </c>
      <c r="O64" s="3" t="s">
        <v>338</v>
      </c>
    </row>
    <row r="65" spans="1:15" x14ac:dyDescent="0.25">
      <c r="A65" s="3" t="s">
        <v>202</v>
      </c>
      <c r="B65" s="3" t="s">
        <v>145</v>
      </c>
      <c r="C65" s="3" t="s">
        <v>146</v>
      </c>
      <c r="D65" s="3" t="s">
        <v>125</v>
      </c>
      <c r="E65" s="3" t="s">
        <v>203</v>
      </c>
      <c r="F65" s="3" t="s">
        <v>126</v>
      </c>
      <c r="G65" s="3">
        <v>0.92500000000000004</v>
      </c>
      <c r="H65" s="3">
        <v>1</v>
      </c>
      <c r="I65" s="4">
        <v>0</v>
      </c>
      <c r="J65" s="3" t="s">
        <v>7</v>
      </c>
      <c r="K65" s="3" t="s">
        <v>7</v>
      </c>
      <c r="L65" s="3" t="s">
        <v>7</v>
      </c>
      <c r="M65" s="3" t="s">
        <v>125</v>
      </c>
      <c r="N65" s="3" t="s">
        <v>406</v>
      </c>
      <c r="O65" s="3" t="s">
        <v>339</v>
      </c>
    </row>
    <row r="66" spans="1:15" x14ac:dyDescent="0.25">
      <c r="A66" s="3" t="s">
        <v>202</v>
      </c>
      <c r="B66" s="3" t="s">
        <v>145</v>
      </c>
      <c r="C66" s="3" t="s">
        <v>146</v>
      </c>
      <c r="D66" s="3" t="s">
        <v>125</v>
      </c>
      <c r="E66" s="3" t="s">
        <v>203</v>
      </c>
      <c r="F66" s="3" t="s">
        <v>126</v>
      </c>
      <c r="G66" s="3">
        <v>0.66</v>
      </c>
      <c r="H66" s="3">
        <v>6</v>
      </c>
      <c r="I66" s="4">
        <v>1</v>
      </c>
      <c r="J66" s="3" t="s">
        <v>7</v>
      </c>
      <c r="K66" s="3" t="s">
        <v>7</v>
      </c>
      <c r="L66" s="3" t="s">
        <v>7</v>
      </c>
      <c r="M66" s="3" t="s">
        <v>125</v>
      </c>
      <c r="N66" s="3" t="s">
        <v>406</v>
      </c>
      <c r="O66" s="3" t="s">
        <v>339</v>
      </c>
    </row>
    <row r="67" spans="1:15" x14ac:dyDescent="0.25">
      <c r="A67" s="3" t="s">
        <v>209</v>
      </c>
      <c r="B67" s="3" t="s">
        <v>162</v>
      </c>
      <c r="C67" s="3" t="s">
        <v>163</v>
      </c>
      <c r="D67" s="3" t="s">
        <v>141</v>
      </c>
      <c r="E67" s="3" t="s">
        <v>210</v>
      </c>
      <c r="F67" s="3" t="s">
        <v>142</v>
      </c>
      <c r="G67" s="3">
        <v>2.06</v>
      </c>
      <c r="H67" s="3">
        <v>6</v>
      </c>
      <c r="I67" s="4">
        <v>1</v>
      </c>
      <c r="J67" s="3" t="s">
        <v>7</v>
      </c>
      <c r="K67" s="3" t="s">
        <v>7</v>
      </c>
      <c r="L67" s="3" t="s">
        <v>7</v>
      </c>
      <c r="M67" s="3" t="s">
        <v>141</v>
      </c>
      <c r="N67" s="3" t="s">
        <v>406</v>
      </c>
      <c r="O67" s="3" t="s">
        <v>340</v>
      </c>
    </row>
    <row r="68" spans="1:15" x14ac:dyDescent="0.25">
      <c r="A68" s="3" t="s">
        <v>209</v>
      </c>
      <c r="B68" s="3" t="s">
        <v>162</v>
      </c>
      <c r="C68" s="3" t="s">
        <v>163</v>
      </c>
      <c r="D68" s="3" t="s">
        <v>141</v>
      </c>
      <c r="E68" s="3" t="s">
        <v>210</v>
      </c>
      <c r="F68" s="3" t="s">
        <v>142</v>
      </c>
      <c r="G68" s="3">
        <v>0.87239999999999995</v>
      </c>
      <c r="H68" s="3">
        <v>2</v>
      </c>
      <c r="I68" s="4">
        <v>0</v>
      </c>
      <c r="J68" s="3" t="s">
        <v>7</v>
      </c>
      <c r="K68" s="3" t="s">
        <v>7</v>
      </c>
      <c r="L68" s="3" t="s">
        <v>7</v>
      </c>
      <c r="M68" s="3" t="s">
        <v>141</v>
      </c>
      <c r="N68" s="3" t="s">
        <v>406</v>
      </c>
      <c r="O68" s="3" t="s">
        <v>340</v>
      </c>
    </row>
    <row r="69" spans="1:15" x14ac:dyDescent="0.25">
      <c r="A69" s="3" t="s">
        <v>123</v>
      </c>
      <c r="B69" s="3" t="s">
        <v>35</v>
      </c>
      <c r="C69" s="3" t="s">
        <v>36</v>
      </c>
      <c r="D69" s="3" t="s">
        <v>114</v>
      </c>
      <c r="E69" s="3" t="s">
        <v>124</v>
      </c>
      <c r="F69" s="3" t="s">
        <v>100</v>
      </c>
      <c r="G69" s="3">
        <v>7.25</v>
      </c>
      <c r="H69" s="3">
        <v>15</v>
      </c>
      <c r="I69" s="4">
        <v>1</v>
      </c>
      <c r="J69" s="3" t="s">
        <v>7</v>
      </c>
      <c r="K69" s="3" t="s">
        <v>7</v>
      </c>
      <c r="L69" s="3" t="s">
        <v>7</v>
      </c>
      <c r="M69" s="3" t="s">
        <v>114</v>
      </c>
      <c r="N69" s="3" t="s">
        <v>406</v>
      </c>
      <c r="O69" s="3" t="s">
        <v>341</v>
      </c>
    </row>
    <row r="70" spans="1:15" x14ac:dyDescent="0.25">
      <c r="A70" s="3" t="s">
        <v>123</v>
      </c>
      <c r="B70" s="3" t="s">
        <v>35</v>
      </c>
      <c r="C70" s="3" t="s">
        <v>36</v>
      </c>
      <c r="D70" s="3" t="s">
        <v>114</v>
      </c>
      <c r="E70" s="3" t="s">
        <v>124</v>
      </c>
      <c r="F70" s="3" t="s">
        <v>100</v>
      </c>
      <c r="G70" s="3">
        <v>6.125</v>
      </c>
      <c r="H70" s="3">
        <v>6</v>
      </c>
      <c r="I70" s="4">
        <v>0</v>
      </c>
      <c r="J70" s="3" t="s">
        <v>7</v>
      </c>
      <c r="K70" s="3" t="s">
        <v>7</v>
      </c>
      <c r="L70" s="3" t="s">
        <v>7</v>
      </c>
      <c r="M70" s="3" t="s">
        <v>114</v>
      </c>
      <c r="N70" s="3" t="s">
        <v>406</v>
      </c>
      <c r="O70" s="3" t="s">
        <v>341</v>
      </c>
    </row>
    <row r="71" spans="1:15" x14ac:dyDescent="0.25">
      <c r="A71" s="3" t="s">
        <v>211</v>
      </c>
      <c r="B71" s="3" t="s">
        <v>212</v>
      </c>
      <c r="C71" s="3" t="s">
        <v>153</v>
      </c>
      <c r="D71" s="3" t="s">
        <v>143</v>
      </c>
      <c r="E71" s="3" t="s">
        <v>213</v>
      </c>
      <c r="F71" s="3" t="s">
        <v>144</v>
      </c>
      <c r="G71" s="3">
        <v>0.84599999999999997</v>
      </c>
      <c r="H71" s="3">
        <v>4</v>
      </c>
      <c r="I71" s="4">
        <v>0</v>
      </c>
      <c r="J71" s="3" t="s">
        <v>7</v>
      </c>
      <c r="K71" s="3" t="s">
        <v>7</v>
      </c>
      <c r="L71" s="3" t="s">
        <v>7</v>
      </c>
      <c r="M71" s="3" t="s">
        <v>143</v>
      </c>
      <c r="N71" s="3" t="s">
        <v>406</v>
      </c>
      <c r="O71" s="3" t="s">
        <v>342</v>
      </c>
    </row>
    <row r="72" spans="1:15" x14ac:dyDescent="0.25">
      <c r="A72" s="3" t="s">
        <v>211</v>
      </c>
      <c r="B72" s="3" t="s">
        <v>212</v>
      </c>
      <c r="C72" s="3" t="s">
        <v>153</v>
      </c>
      <c r="D72" s="3" t="s">
        <v>143</v>
      </c>
      <c r="E72" s="3" t="s">
        <v>213</v>
      </c>
      <c r="F72" s="3" t="s">
        <v>144</v>
      </c>
      <c r="G72" s="3">
        <v>1.95</v>
      </c>
      <c r="H72" s="3">
        <v>4</v>
      </c>
      <c r="I72" s="4">
        <v>1</v>
      </c>
      <c r="J72" s="3" t="s">
        <v>7</v>
      </c>
      <c r="K72" s="3" t="s">
        <v>7</v>
      </c>
      <c r="L72" s="3" t="s">
        <v>7</v>
      </c>
      <c r="M72" s="3" t="s">
        <v>143</v>
      </c>
      <c r="N72" s="3" t="s">
        <v>406</v>
      </c>
      <c r="O72" s="3" t="s">
        <v>342</v>
      </c>
    </row>
    <row r="73" spans="1:15" x14ac:dyDescent="0.25">
      <c r="A73" s="3" t="s">
        <v>195</v>
      </c>
      <c r="B73" s="3" t="s">
        <v>152</v>
      </c>
      <c r="C73" s="3" t="s">
        <v>153</v>
      </c>
      <c r="D73" s="3" t="s">
        <v>109</v>
      </c>
      <c r="E73" s="3" t="s">
        <v>196</v>
      </c>
      <c r="F73" s="3" t="s">
        <v>110</v>
      </c>
      <c r="G73" s="3">
        <v>2.2000000000000002</v>
      </c>
      <c r="H73" s="3">
        <v>7</v>
      </c>
      <c r="I73" s="4">
        <v>1</v>
      </c>
      <c r="J73" s="3" t="s">
        <v>7</v>
      </c>
      <c r="K73" s="3" t="s">
        <v>7</v>
      </c>
      <c r="L73" s="3" t="s">
        <v>7</v>
      </c>
      <c r="M73" s="3" t="s">
        <v>109</v>
      </c>
      <c r="N73" s="3" t="s">
        <v>406</v>
      </c>
      <c r="O73" s="3" t="s">
        <v>343</v>
      </c>
    </row>
    <row r="74" spans="1:15" x14ac:dyDescent="0.25">
      <c r="A74" s="3" t="s">
        <v>195</v>
      </c>
      <c r="B74" s="3" t="s">
        <v>152</v>
      </c>
      <c r="C74" s="3" t="s">
        <v>153</v>
      </c>
      <c r="D74" s="3" t="s">
        <v>109</v>
      </c>
      <c r="E74" s="3" t="s">
        <v>196</v>
      </c>
      <c r="F74" s="3" t="s">
        <v>110</v>
      </c>
      <c r="G74" s="3">
        <v>0.95399999999999996</v>
      </c>
      <c r="H74" s="3">
        <v>7</v>
      </c>
      <c r="I74" s="4">
        <v>0</v>
      </c>
      <c r="J74" s="3" t="s">
        <v>7</v>
      </c>
      <c r="K74" s="3" t="s">
        <v>7</v>
      </c>
      <c r="L74" s="3" t="s">
        <v>7</v>
      </c>
      <c r="M74" s="3" t="s">
        <v>109</v>
      </c>
      <c r="N74" s="3" t="s">
        <v>406</v>
      </c>
      <c r="O74" s="3" t="s">
        <v>343</v>
      </c>
    </row>
    <row r="75" spans="1:15" x14ac:dyDescent="0.25">
      <c r="A75" s="3" t="s">
        <v>193</v>
      </c>
      <c r="B75" s="3" t="s">
        <v>162</v>
      </c>
      <c r="C75" s="3" t="s">
        <v>163</v>
      </c>
      <c r="D75" s="3" t="s">
        <v>75</v>
      </c>
      <c r="E75" s="3" t="s">
        <v>194</v>
      </c>
      <c r="F75" s="3" t="s">
        <v>77</v>
      </c>
      <c r="G75" s="3">
        <v>2.31</v>
      </c>
      <c r="H75" s="3">
        <v>9</v>
      </c>
      <c r="I75" s="4">
        <v>1</v>
      </c>
      <c r="J75" s="3" t="s">
        <v>7</v>
      </c>
      <c r="K75" s="3" t="s">
        <v>7</v>
      </c>
      <c r="L75" s="3" t="s">
        <v>7</v>
      </c>
      <c r="M75" s="3" t="s">
        <v>75</v>
      </c>
      <c r="N75" s="3" t="s">
        <v>406</v>
      </c>
      <c r="O75" s="3" t="s">
        <v>344</v>
      </c>
    </row>
    <row r="76" spans="1:15" x14ac:dyDescent="0.25">
      <c r="A76" s="3" t="s">
        <v>193</v>
      </c>
      <c r="B76" s="3" t="s">
        <v>162</v>
      </c>
      <c r="C76" s="3" t="s">
        <v>163</v>
      </c>
      <c r="D76" s="3" t="s">
        <v>75</v>
      </c>
      <c r="E76" s="3" t="s">
        <v>194</v>
      </c>
      <c r="F76" s="3" t="s">
        <v>77</v>
      </c>
      <c r="G76" s="3">
        <v>1.0409999999999999</v>
      </c>
      <c r="H76" s="3">
        <v>1</v>
      </c>
      <c r="I76" s="4">
        <v>0</v>
      </c>
      <c r="J76" s="3" t="s">
        <v>7</v>
      </c>
      <c r="K76" s="3" t="s">
        <v>7</v>
      </c>
      <c r="L76" s="3" t="s">
        <v>7</v>
      </c>
      <c r="M76" s="3" t="s">
        <v>75</v>
      </c>
      <c r="N76" s="3" t="s">
        <v>406</v>
      </c>
      <c r="O76" s="3" t="s">
        <v>344</v>
      </c>
    </row>
    <row r="77" spans="1:15" x14ac:dyDescent="0.25">
      <c r="A77" s="3" t="s">
        <v>97</v>
      </c>
      <c r="B77" s="3" t="s">
        <v>35</v>
      </c>
      <c r="C77" s="3" t="s">
        <v>36</v>
      </c>
      <c r="D77" s="3" t="s">
        <v>75</v>
      </c>
      <c r="E77" s="3" t="s">
        <v>99</v>
      </c>
      <c r="F77" s="3" t="s">
        <v>100</v>
      </c>
      <c r="G77" s="3">
        <v>8.0500000000000007</v>
      </c>
      <c r="H77" s="3">
        <v>24</v>
      </c>
      <c r="I77" s="4">
        <v>1</v>
      </c>
      <c r="J77" s="3" t="s">
        <v>7</v>
      </c>
      <c r="K77" s="3" t="s">
        <v>7</v>
      </c>
      <c r="L77" s="3" t="s">
        <v>7</v>
      </c>
      <c r="M77" s="3" t="s">
        <v>75</v>
      </c>
      <c r="N77" s="3" t="s">
        <v>406</v>
      </c>
      <c r="O77" s="3" t="s">
        <v>345</v>
      </c>
    </row>
    <row r="78" spans="1:15" x14ac:dyDescent="0.25">
      <c r="A78" s="3" t="s">
        <v>97</v>
      </c>
      <c r="B78" s="3" t="s">
        <v>35</v>
      </c>
      <c r="C78" s="3" t="s">
        <v>36</v>
      </c>
      <c r="D78" s="3" t="s">
        <v>75</v>
      </c>
      <c r="E78" s="3" t="s">
        <v>99</v>
      </c>
      <c r="F78" s="3" t="s">
        <v>100</v>
      </c>
      <c r="G78" s="3">
        <v>7.5</v>
      </c>
      <c r="H78" s="3">
        <v>0</v>
      </c>
      <c r="I78" s="4">
        <v>0</v>
      </c>
      <c r="J78" s="3" t="s">
        <v>7</v>
      </c>
      <c r="K78" s="3" t="s">
        <v>7</v>
      </c>
      <c r="L78" s="3" t="s">
        <v>7</v>
      </c>
      <c r="M78" s="3" t="s">
        <v>75</v>
      </c>
      <c r="N78" s="3" t="s">
        <v>406</v>
      </c>
      <c r="O78" s="3" t="s">
        <v>345</v>
      </c>
    </row>
    <row r="79" spans="1:15" x14ac:dyDescent="0.25">
      <c r="A79" s="3" t="s">
        <v>190</v>
      </c>
      <c r="B79" s="3" t="s">
        <v>191</v>
      </c>
      <c r="C79" s="3" t="s">
        <v>153</v>
      </c>
      <c r="D79" s="3" t="s">
        <v>98</v>
      </c>
      <c r="E79" s="3" t="s">
        <v>192</v>
      </c>
      <c r="F79" s="3" t="s">
        <v>100</v>
      </c>
      <c r="G79" s="3">
        <v>1.0619000000000001</v>
      </c>
      <c r="H79" s="3">
        <v>12</v>
      </c>
      <c r="I79" s="4">
        <v>0</v>
      </c>
      <c r="J79" s="3" t="s">
        <v>7</v>
      </c>
      <c r="K79" s="3" t="s">
        <v>7</v>
      </c>
      <c r="L79" s="3" t="s">
        <v>7</v>
      </c>
      <c r="M79" s="3" t="s">
        <v>98</v>
      </c>
      <c r="N79" s="3" t="s">
        <v>406</v>
      </c>
      <c r="O79" s="3" t="s">
        <v>346</v>
      </c>
    </row>
    <row r="80" spans="1:15" x14ac:dyDescent="0.25">
      <c r="A80" s="3" t="s">
        <v>190</v>
      </c>
      <c r="B80" s="3" t="s">
        <v>191</v>
      </c>
      <c r="C80" s="3" t="s">
        <v>153</v>
      </c>
      <c r="D80" s="3" t="s">
        <v>98</v>
      </c>
      <c r="E80" s="3" t="s">
        <v>192</v>
      </c>
      <c r="F80" s="3" t="s">
        <v>100</v>
      </c>
      <c r="G80" s="3">
        <v>2.44</v>
      </c>
      <c r="H80" s="3">
        <v>12</v>
      </c>
      <c r="I80" s="4">
        <v>1</v>
      </c>
      <c r="J80" s="3" t="s">
        <v>7</v>
      </c>
      <c r="K80" s="3" t="s">
        <v>7</v>
      </c>
      <c r="L80" s="3" t="s">
        <v>7</v>
      </c>
      <c r="M80" s="3" t="s">
        <v>98</v>
      </c>
      <c r="N80" s="3" t="s">
        <v>406</v>
      </c>
      <c r="O80" s="3" t="s">
        <v>346</v>
      </c>
    </row>
    <row r="81" spans="1:15" x14ac:dyDescent="0.25">
      <c r="A81" s="3" t="s">
        <v>136</v>
      </c>
      <c r="B81" s="3" t="s">
        <v>35</v>
      </c>
      <c r="C81" s="3" t="s">
        <v>36</v>
      </c>
      <c r="D81" s="3" t="s">
        <v>78</v>
      </c>
      <c r="E81" s="3" t="s">
        <v>137</v>
      </c>
      <c r="F81" s="3" t="s">
        <v>79</v>
      </c>
      <c r="G81" s="3">
        <v>8.75</v>
      </c>
      <c r="H81" s="3">
        <v>33</v>
      </c>
      <c r="I81" s="4">
        <v>1</v>
      </c>
      <c r="J81" s="3" t="s">
        <v>7</v>
      </c>
      <c r="K81" s="3" t="s">
        <v>7</v>
      </c>
      <c r="L81" s="3" t="s">
        <v>7</v>
      </c>
      <c r="M81" s="3" t="s">
        <v>78</v>
      </c>
      <c r="N81" s="3" t="s">
        <v>406</v>
      </c>
      <c r="O81" s="3" t="s">
        <v>347</v>
      </c>
    </row>
    <row r="82" spans="1:15" x14ac:dyDescent="0.25">
      <c r="A82" s="3" t="s">
        <v>136</v>
      </c>
      <c r="B82" s="3" t="s">
        <v>35</v>
      </c>
      <c r="C82" s="3" t="s">
        <v>36</v>
      </c>
      <c r="D82" s="3" t="s">
        <v>78</v>
      </c>
      <c r="E82" s="3" t="s">
        <v>137</v>
      </c>
      <c r="F82" s="3" t="s">
        <v>79</v>
      </c>
      <c r="G82" s="3">
        <v>8.875</v>
      </c>
      <c r="H82" s="3">
        <v>5</v>
      </c>
      <c r="I82" s="4">
        <v>0</v>
      </c>
      <c r="J82" s="3" t="s">
        <v>7</v>
      </c>
      <c r="K82" s="3" t="s">
        <v>7</v>
      </c>
      <c r="L82" s="3" t="s">
        <v>7</v>
      </c>
      <c r="M82" s="3" t="s">
        <v>78</v>
      </c>
      <c r="N82" s="3" t="s">
        <v>406</v>
      </c>
      <c r="O82" s="3" t="s">
        <v>347</v>
      </c>
    </row>
    <row r="83" spans="1:15" x14ac:dyDescent="0.25">
      <c r="A83" s="3" t="s">
        <v>103</v>
      </c>
      <c r="B83" s="3" t="s">
        <v>35</v>
      </c>
      <c r="C83" s="3" t="s">
        <v>36</v>
      </c>
      <c r="D83" s="3" t="s">
        <v>268</v>
      </c>
      <c r="E83" s="3" t="s">
        <v>104</v>
      </c>
      <c r="F83" s="3" t="s">
        <v>79</v>
      </c>
      <c r="G83" s="3">
        <v>10.361000000000001</v>
      </c>
      <c r="H83" s="3">
        <v>0</v>
      </c>
      <c r="I83" s="4">
        <v>0</v>
      </c>
      <c r="J83" s="3" t="s">
        <v>263</v>
      </c>
      <c r="K83" s="3" t="s">
        <v>263</v>
      </c>
      <c r="L83" s="3" t="s">
        <v>263</v>
      </c>
      <c r="M83" s="3" t="s">
        <v>268</v>
      </c>
      <c r="N83" s="3" t="s">
        <v>407</v>
      </c>
      <c r="O83" s="3" t="s">
        <v>348</v>
      </c>
    </row>
    <row r="84" spans="1:15" x14ac:dyDescent="0.25">
      <c r="A84" s="3" t="s">
        <v>103</v>
      </c>
      <c r="B84" s="3" t="s">
        <v>35</v>
      </c>
      <c r="C84" s="3" t="s">
        <v>36</v>
      </c>
      <c r="D84" s="3" t="s">
        <v>268</v>
      </c>
      <c r="E84" s="3" t="s">
        <v>104</v>
      </c>
      <c r="F84" s="3" t="s">
        <v>79</v>
      </c>
      <c r="G84" s="3">
        <v>9.5500000000000007</v>
      </c>
      <c r="H84" s="3">
        <v>5</v>
      </c>
      <c r="I84" s="4">
        <v>1</v>
      </c>
      <c r="J84" s="3" t="s">
        <v>263</v>
      </c>
      <c r="K84" s="3" t="s">
        <v>263</v>
      </c>
      <c r="L84" s="3" t="s">
        <v>263</v>
      </c>
      <c r="M84" s="3" t="s">
        <v>268</v>
      </c>
      <c r="N84" s="3" t="s">
        <v>407</v>
      </c>
      <c r="O84" s="3" t="s">
        <v>348</v>
      </c>
    </row>
    <row r="85" spans="1:15" x14ac:dyDescent="0.25">
      <c r="A85" s="3" t="s">
        <v>185</v>
      </c>
      <c r="B85" s="3" t="s">
        <v>162</v>
      </c>
      <c r="C85" s="3" t="s">
        <v>163</v>
      </c>
      <c r="D85" s="3" t="s">
        <v>107</v>
      </c>
      <c r="E85" s="3" t="s">
        <v>186</v>
      </c>
      <c r="F85" s="3" t="s">
        <v>108</v>
      </c>
      <c r="G85" s="3">
        <v>1.2875000000000001</v>
      </c>
      <c r="H85" s="3">
        <v>4</v>
      </c>
      <c r="I85" s="4">
        <v>0</v>
      </c>
      <c r="J85" s="3" t="s">
        <v>263</v>
      </c>
      <c r="K85" s="3" t="s">
        <v>263</v>
      </c>
      <c r="L85" s="3" t="s">
        <v>263</v>
      </c>
      <c r="M85" s="3" t="s">
        <v>107</v>
      </c>
      <c r="N85" s="3" t="s">
        <v>407</v>
      </c>
      <c r="O85" s="3" t="s">
        <v>350</v>
      </c>
    </row>
    <row r="86" spans="1:15" x14ac:dyDescent="0.25">
      <c r="A86" s="3" t="s">
        <v>185</v>
      </c>
      <c r="B86" s="3" t="s">
        <v>162</v>
      </c>
      <c r="C86" s="3" t="s">
        <v>163</v>
      </c>
      <c r="D86" s="3" t="s">
        <v>107</v>
      </c>
      <c r="E86" s="3" t="s">
        <v>186</v>
      </c>
      <c r="F86" s="3" t="s">
        <v>108</v>
      </c>
      <c r="G86" s="3">
        <v>2.5750000000000002</v>
      </c>
      <c r="H86" s="3">
        <v>3</v>
      </c>
      <c r="I86" s="4">
        <v>1</v>
      </c>
      <c r="J86" s="3" t="s">
        <v>263</v>
      </c>
      <c r="K86" s="3" t="s">
        <v>263</v>
      </c>
      <c r="L86" s="3" t="s">
        <v>263</v>
      </c>
      <c r="M86" s="3" t="s">
        <v>107</v>
      </c>
      <c r="N86" s="3" t="s">
        <v>407</v>
      </c>
      <c r="O86" s="3" t="s">
        <v>350</v>
      </c>
    </row>
    <row r="87" spans="1:15" x14ac:dyDescent="0.25">
      <c r="A87" s="3" t="s">
        <v>175</v>
      </c>
      <c r="B87" s="3" t="s">
        <v>145</v>
      </c>
      <c r="C87" s="3" t="s">
        <v>146</v>
      </c>
      <c r="D87" s="3" t="s">
        <v>114</v>
      </c>
      <c r="E87" s="3" t="s">
        <v>176</v>
      </c>
      <c r="F87" s="3" t="s">
        <v>108</v>
      </c>
      <c r="G87" s="3">
        <v>1.23875</v>
      </c>
      <c r="H87" s="3">
        <v>3</v>
      </c>
      <c r="I87" s="4">
        <v>0</v>
      </c>
      <c r="J87" s="3" t="s">
        <v>263</v>
      </c>
      <c r="K87" s="3" t="s">
        <v>263</v>
      </c>
      <c r="L87" s="3" t="s">
        <v>263</v>
      </c>
      <c r="M87" s="3" t="s">
        <v>114</v>
      </c>
      <c r="N87" s="3" t="s">
        <v>407</v>
      </c>
      <c r="O87" s="3" t="s">
        <v>351</v>
      </c>
    </row>
    <row r="88" spans="1:15" x14ac:dyDescent="0.25">
      <c r="A88" s="3" t="s">
        <v>175</v>
      </c>
      <c r="B88" s="3" t="s">
        <v>145</v>
      </c>
      <c r="C88" s="3" t="s">
        <v>146</v>
      </c>
      <c r="D88" s="3" t="s">
        <v>114</v>
      </c>
      <c r="E88" s="3" t="s">
        <v>176</v>
      </c>
      <c r="F88" s="3" t="s">
        <v>108</v>
      </c>
      <c r="G88" s="3">
        <v>0.97499999999999998</v>
      </c>
      <c r="H88" s="3">
        <v>5</v>
      </c>
      <c r="I88" s="4">
        <v>1</v>
      </c>
      <c r="J88" s="3" t="s">
        <v>263</v>
      </c>
      <c r="K88" s="3" t="s">
        <v>263</v>
      </c>
      <c r="L88" s="3" t="s">
        <v>263</v>
      </c>
      <c r="M88" s="3" t="s">
        <v>114</v>
      </c>
      <c r="N88" s="3" t="s">
        <v>407</v>
      </c>
      <c r="O88" s="3" t="s">
        <v>351</v>
      </c>
    </row>
    <row r="89" spans="1:15" x14ac:dyDescent="0.25">
      <c r="A89" s="3" t="s">
        <v>187</v>
      </c>
      <c r="B89" s="3" t="s">
        <v>188</v>
      </c>
      <c r="C89" s="3" t="s">
        <v>171</v>
      </c>
      <c r="D89" s="3" t="s">
        <v>114</v>
      </c>
      <c r="E89" s="3" t="s">
        <v>189</v>
      </c>
      <c r="F89" s="3" t="s">
        <v>108</v>
      </c>
      <c r="G89" s="3">
        <v>2.2799999999999998</v>
      </c>
      <c r="H89" s="3">
        <v>2</v>
      </c>
      <c r="I89" s="4">
        <v>1</v>
      </c>
      <c r="J89" s="3" t="s">
        <v>263</v>
      </c>
      <c r="K89" s="3" t="s">
        <v>263</v>
      </c>
      <c r="L89" s="3" t="s">
        <v>263</v>
      </c>
      <c r="M89" s="3" t="s">
        <v>114</v>
      </c>
      <c r="N89" s="3" t="s">
        <v>407</v>
      </c>
      <c r="O89" s="3" t="s">
        <v>352</v>
      </c>
    </row>
    <row r="90" spans="1:15" x14ac:dyDescent="0.25">
      <c r="A90" s="3" t="s">
        <v>187</v>
      </c>
      <c r="B90" s="3" t="s">
        <v>188</v>
      </c>
      <c r="C90" s="3" t="s">
        <v>171</v>
      </c>
      <c r="D90" s="3" t="s">
        <v>114</v>
      </c>
      <c r="E90" s="3" t="s">
        <v>189</v>
      </c>
      <c r="F90" s="3" t="s">
        <v>108</v>
      </c>
      <c r="G90" s="3">
        <v>1.3149999999999999</v>
      </c>
      <c r="H90" s="3">
        <v>4</v>
      </c>
      <c r="I90" s="4">
        <v>0</v>
      </c>
      <c r="J90" s="3" t="s">
        <v>263</v>
      </c>
      <c r="K90" s="3" t="s">
        <v>263</v>
      </c>
      <c r="L90" s="3" t="s">
        <v>263</v>
      </c>
      <c r="M90" s="3" t="s">
        <v>114</v>
      </c>
      <c r="N90" s="3" t="s">
        <v>407</v>
      </c>
      <c r="O90" s="3" t="s">
        <v>352</v>
      </c>
    </row>
    <row r="91" spans="1:15" x14ac:dyDescent="0.25">
      <c r="A91" s="3" t="s">
        <v>206</v>
      </c>
      <c r="B91" s="3" t="s">
        <v>207</v>
      </c>
      <c r="C91" s="3" t="s">
        <v>171</v>
      </c>
      <c r="D91" s="3" t="s">
        <v>143</v>
      </c>
      <c r="E91" s="3" t="s">
        <v>208</v>
      </c>
      <c r="F91" s="3" t="s">
        <v>144</v>
      </c>
      <c r="G91" s="3">
        <v>2.54</v>
      </c>
      <c r="H91" s="3">
        <v>3</v>
      </c>
      <c r="I91" s="4">
        <v>1</v>
      </c>
      <c r="J91" s="3" t="s">
        <v>263</v>
      </c>
      <c r="K91" s="3" t="s">
        <v>263</v>
      </c>
      <c r="L91" s="3" t="s">
        <v>263</v>
      </c>
      <c r="M91" s="3" t="s">
        <v>143</v>
      </c>
      <c r="N91" s="3" t="s">
        <v>407</v>
      </c>
      <c r="O91" s="3" t="s">
        <v>353</v>
      </c>
    </row>
    <row r="92" spans="1:15" x14ac:dyDescent="0.25">
      <c r="A92" s="3" t="s">
        <v>206</v>
      </c>
      <c r="B92" s="3" t="s">
        <v>207</v>
      </c>
      <c r="C92" s="3" t="s">
        <v>171</v>
      </c>
      <c r="D92" s="3" t="s">
        <v>143</v>
      </c>
      <c r="E92" s="3" t="s">
        <v>208</v>
      </c>
      <c r="F92" s="3" t="s">
        <v>144</v>
      </c>
      <c r="G92" s="3">
        <v>1.45</v>
      </c>
      <c r="H92" s="3">
        <v>6</v>
      </c>
      <c r="I92" s="4">
        <v>0</v>
      </c>
      <c r="J92" s="3" t="s">
        <v>263</v>
      </c>
      <c r="K92" s="3" t="s">
        <v>263</v>
      </c>
      <c r="L92" s="3" t="s">
        <v>263</v>
      </c>
      <c r="M92" s="3" t="s">
        <v>143</v>
      </c>
      <c r="N92" s="3" t="s">
        <v>407</v>
      </c>
      <c r="O92" s="3" t="s">
        <v>353</v>
      </c>
    </row>
    <row r="93" spans="1:15" x14ac:dyDescent="0.25">
      <c r="A93" s="3" t="s">
        <v>111</v>
      </c>
      <c r="B93" s="3" t="s">
        <v>35</v>
      </c>
      <c r="C93" s="3" t="s">
        <v>36</v>
      </c>
      <c r="D93" s="3" t="s">
        <v>75</v>
      </c>
      <c r="E93" s="3" t="s">
        <v>112</v>
      </c>
      <c r="F93" s="3" t="s">
        <v>79</v>
      </c>
      <c r="G93" s="3">
        <v>10.3</v>
      </c>
      <c r="H93" s="3">
        <v>11</v>
      </c>
      <c r="I93" s="4">
        <v>1</v>
      </c>
      <c r="J93" s="3" t="s">
        <v>263</v>
      </c>
      <c r="K93" s="3" t="s">
        <v>263</v>
      </c>
      <c r="L93" s="3" t="s">
        <v>263</v>
      </c>
      <c r="M93" s="3" t="s">
        <v>75</v>
      </c>
      <c r="N93" s="3" t="s">
        <v>407</v>
      </c>
      <c r="O93" s="3" t="s">
        <v>354</v>
      </c>
    </row>
    <row r="94" spans="1:15" x14ac:dyDescent="0.25">
      <c r="A94" s="3" t="s">
        <v>111</v>
      </c>
      <c r="B94" s="3" t="s">
        <v>35</v>
      </c>
      <c r="C94" s="3" t="s">
        <v>36</v>
      </c>
      <c r="D94" s="3" t="s">
        <v>75</v>
      </c>
      <c r="E94" s="3" t="s">
        <v>112</v>
      </c>
      <c r="F94" s="3" t="s">
        <v>79</v>
      </c>
      <c r="G94" s="3">
        <v>10.972</v>
      </c>
      <c r="H94" s="3">
        <v>2</v>
      </c>
      <c r="I94" s="4">
        <v>0</v>
      </c>
      <c r="J94" s="3" t="s">
        <v>263</v>
      </c>
      <c r="K94" s="3" t="s">
        <v>263</v>
      </c>
      <c r="L94" s="3" t="s">
        <v>263</v>
      </c>
      <c r="M94" s="3" t="s">
        <v>75</v>
      </c>
      <c r="N94" s="3" t="s">
        <v>407</v>
      </c>
      <c r="O94" s="3" t="s">
        <v>354</v>
      </c>
    </row>
    <row r="95" spans="1:15" x14ac:dyDescent="0.25">
      <c r="A95" s="3" t="s">
        <v>181</v>
      </c>
      <c r="B95" s="3" t="s">
        <v>162</v>
      </c>
      <c r="C95" s="3" t="s">
        <v>163</v>
      </c>
      <c r="D95" s="3" t="s">
        <v>78</v>
      </c>
      <c r="E95" s="3" t="s">
        <v>182</v>
      </c>
      <c r="F95" s="3" t="s">
        <v>79</v>
      </c>
      <c r="G95" s="3">
        <v>2.8450000000000002</v>
      </c>
      <c r="H95" s="3">
        <v>7</v>
      </c>
      <c r="I95" s="4">
        <v>1</v>
      </c>
      <c r="J95" s="3" t="s">
        <v>263</v>
      </c>
      <c r="K95" s="3" t="s">
        <v>263</v>
      </c>
      <c r="L95" s="3" t="s">
        <v>263</v>
      </c>
      <c r="M95" s="3" t="s">
        <v>78</v>
      </c>
      <c r="N95" s="3" t="s">
        <v>407</v>
      </c>
      <c r="O95" s="3" t="s">
        <v>355</v>
      </c>
    </row>
    <row r="96" spans="1:15" x14ac:dyDescent="0.25">
      <c r="A96" s="3" t="s">
        <v>181</v>
      </c>
      <c r="B96" s="3" t="s">
        <v>162</v>
      </c>
      <c r="C96" s="3" t="s">
        <v>163</v>
      </c>
      <c r="D96" s="3" t="s">
        <v>78</v>
      </c>
      <c r="E96" s="3" t="s">
        <v>182</v>
      </c>
      <c r="F96" s="3" t="s">
        <v>79</v>
      </c>
      <c r="G96" s="3">
        <v>1.4550000000000001</v>
      </c>
      <c r="H96" s="3">
        <v>3</v>
      </c>
      <c r="I96" s="4">
        <v>0</v>
      </c>
      <c r="J96" s="3" t="s">
        <v>263</v>
      </c>
      <c r="K96" s="3" t="s">
        <v>263</v>
      </c>
      <c r="L96" s="3" t="s">
        <v>263</v>
      </c>
      <c r="M96" s="3" t="s">
        <v>78</v>
      </c>
      <c r="N96" s="3" t="s">
        <v>407</v>
      </c>
      <c r="O96" s="3" t="s">
        <v>355</v>
      </c>
    </row>
    <row r="97" spans="1:15" x14ac:dyDescent="0.25">
      <c r="A97" s="3" t="s">
        <v>132</v>
      </c>
      <c r="B97" s="3" t="s">
        <v>35</v>
      </c>
      <c r="C97" s="3" t="s">
        <v>36</v>
      </c>
      <c r="D97" s="3" t="s">
        <v>107</v>
      </c>
      <c r="E97" s="3" t="s">
        <v>133</v>
      </c>
      <c r="F97" s="3" t="s">
        <v>108</v>
      </c>
      <c r="G97" s="3">
        <v>11.583</v>
      </c>
      <c r="H97" s="3">
        <v>3</v>
      </c>
      <c r="I97" s="4">
        <v>0</v>
      </c>
      <c r="J97" s="3" t="s">
        <v>263</v>
      </c>
      <c r="K97" s="3" t="s">
        <v>263</v>
      </c>
      <c r="L97" s="3" t="s">
        <v>263</v>
      </c>
      <c r="M97" s="3" t="s">
        <v>107</v>
      </c>
      <c r="N97" s="3" t="s">
        <v>407</v>
      </c>
      <c r="O97" s="3" t="s">
        <v>356</v>
      </c>
    </row>
    <row r="98" spans="1:15" x14ac:dyDescent="0.25">
      <c r="A98" s="3" t="s">
        <v>132</v>
      </c>
      <c r="B98" s="3" t="s">
        <v>35</v>
      </c>
      <c r="C98" s="3" t="s">
        <v>36</v>
      </c>
      <c r="D98" s="3" t="s">
        <v>107</v>
      </c>
      <c r="E98" s="3" t="s">
        <v>133</v>
      </c>
      <c r="F98" s="3" t="s">
        <v>108</v>
      </c>
      <c r="G98" s="3">
        <v>11.1</v>
      </c>
      <c r="H98" s="3">
        <v>18</v>
      </c>
      <c r="I98" s="4">
        <v>1</v>
      </c>
      <c r="J98" s="3" t="s">
        <v>263</v>
      </c>
      <c r="K98" s="3" t="s">
        <v>263</v>
      </c>
      <c r="L98" s="3" t="s">
        <v>263</v>
      </c>
      <c r="M98" s="3" t="s">
        <v>107</v>
      </c>
      <c r="N98" s="3" t="s">
        <v>407</v>
      </c>
      <c r="O98" s="3" t="s">
        <v>356</v>
      </c>
    </row>
    <row r="99" spans="1:15" x14ac:dyDescent="0.25">
      <c r="A99" s="3" t="s">
        <v>169</v>
      </c>
      <c r="B99" s="3" t="s">
        <v>170</v>
      </c>
      <c r="C99" s="3" t="s">
        <v>171</v>
      </c>
      <c r="D99" s="3" t="s">
        <v>72</v>
      </c>
      <c r="E99" s="3" t="s">
        <v>172</v>
      </c>
      <c r="F99" s="3" t="s">
        <v>73</v>
      </c>
      <c r="G99" s="3">
        <v>1.585</v>
      </c>
      <c r="H99" s="3">
        <v>0</v>
      </c>
      <c r="I99" s="4">
        <v>0</v>
      </c>
      <c r="J99" s="3" t="s">
        <v>263</v>
      </c>
      <c r="K99" s="3" t="s">
        <v>263</v>
      </c>
      <c r="L99" s="3" t="s">
        <v>263</v>
      </c>
      <c r="M99" s="3" t="s">
        <v>72</v>
      </c>
      <c r="N99" s="3" t="s">
        <v>407</v>
      </c>
      <c r="O99" s="3" t="s">
        <v>357</v>
      </c>
    </row>
    <row r="100" spans="1:15" x14ac:dyDescent="0.25">
      <c r="A100" s="3" t="s">
        <v>169</v>
      </c>
      <c r="B100" s="3" t="s">
        <v>170</v>
      </c>
      <c r="C100" s="3" t="s">
        <v>171</v>
      </c>
      <c r="D100" s="3" t="s">
        <v>72</v>
      </c>
      <c r="E100" s="3" t="s">
        <v>172</v>
      </c>
      <c r="F100" s="3" t="s">
        <v>73</v>
      </c>
      <c r="G100" s="3">
        <v>2.82</v>
      </c>
      <c r="H100" s="3">
        <v>7</v>
      </c>
      <c r="I100" s="4">
        <v>1</v>
      </c>
      <c r="J100" s="3" t="s">
        <v>263</v>
      </c>
      <c r="K100" s="3" t="s">
        <v>263</v>
      </c>
      <c r="L100" s="3" t="s">
        <v>263</v>
      </c>
      <c r="M100" s="3" t="s">
        <v>72</v>
      </c>
      <c r="N100" s="3" t="s">
        <v>407</v>
      </c>
      <c r="O100" s="3" t="s">
        <v>357</v>
      </c>
    </row>
    <row r="101" spans="1:15" x14ac:dyDescent="0.25">
      <c r="A101" s="3" t="s">
        <v>68</v>
      </c>
      <c r="B101" s="3" t="s">
        <v>35</v>
      </c>
      <c r="C101" s="3" t="s">
        <v>36</v>
      </c>
      <c r="D101" s="3" t="s">
        <v>37</v>
      </c>
      <c r="E101" s="3" t="s">
        <v>69</v>
      </c>
      <c r="F101" s="3" t="s">
        <v>65</v>
      </c>
      <c r="G101" s="3">
        <v>12.194000000000001</v>
      </c>
      <c r="H101" s="3">
        <v>1</v>
      </c>
      <c r="I101" s="4">
        <v>0</v>
      </c>
      <c r="J101" s="3" t="s">
        <v>263</v>
      </c>
      <c r="K101" s="3" t="s">
        <v>263</v>
      </c>
      <c r="L101" s="3" t="s">
        <v>263</v>
      </c>
      <c r="M101" s="3" t="s">
        <v>37</v>
      </c>
      <c r="N101" s="3" t="s">
        <v>407</v>
      </c>
      <c r="O101" s="3" t="s">
        <v>358</v>
      </c>
    </row>
    <row r="102" spans="1:15" x14ac:dyDescent="0.25">
      <c r="A102" s="3" t="s">
        <v>68</v>
      </c>
      <c r="B102" s="3" t="s">
        <v>35</v>
      </c>
      <c r="C102" s="3" t="s">
        <v>36</v>
      </c>
      <c r="D102" s="3" t="s">
        <v>37</v>
      </c>
      <c r="E102" s="3" t="s">
        <v>69</v>
      </c>
      <c r="F102" s="3" t="s">
        <v>65</v>
      </c>
      <c r="G102" s="3">
        <v>11.9</v>
      </c>
      <c r="H102" s="3">
        <v>22</v>
      </c>
      <c r="I102" s="4">
        <v>1</v>
      </c>
      <c r="J102" s="3" t="s">
        <v>263</v>
      </c>
      <c r="K102" s="3" t="s">
        <v>263</v>
      </c>
      <c r="L102" s="3" t="s">
        <v>263</v>
      </c>
      <c r="M102" s="3" t="s">
        <v>37</v>
      </c>
      <c r="N102" s="3" t="s">
        <v>407</v>
      </c>
      <c r="O102" s="3" t="s">
        <v>358</v>
      </c>
    </row>
    <row r="103" spans="1:15" x14ac:dyDescent="0.25">
      <c r="A103" s="3" t="s">
        <v>200</v>
      </c>
      <c r="B103" s="3" t="s">
        <v>145</v>
      </c>
      <c r="C103" s="3" t="s">
        <v>146</v>
      </c>
      <c r="D103" s="3" t="s">
        <v>47</v>
      </c>
      <c r="E103" s="3" t="s">
        <v>201</v>
      </c>
      <c r="F103" s="3" t="s">
        <v>49</v>
      </c>
      <c r="G103" s="3">
        <v>1.3674999999999999</v>
      </c>
      <c r="H103" s="3">
        <v>4</v>
      </c>
      <c r="I103" s="4">
        <v>0</v>
      </c>
      <c r="J103" s="3" t="s">
        <v>263</v>
      </c>
      <c r="K103" s="3" t="s">
        <v>263</v>
      </c>
      <c r="L103" s="3" t="s">
        <v>263</v>
      </c>
      <c r="M103" s="3" t="s">
        <v>47</v>
      </c>
      <c r="N103" s="3" t="s">
        <v>407</v>
      </c>
      <c r="O103" s="3" t="s">
        <v>359</v>
      </c>
    </row>
    <row r="104" spans="1:15" x14ac:dyDescent="0.25">
      <c r="A104" s="3" t="s">
        <v>200</v>
      </c>
      <c r="B104" s="3" t="s">
        <v>145</v>
      </c>
      <c r="C104" s="3" t="s">
        <v>146</v>
      </c>
      <c r="D104" s="3" t="s">
        <v>47</v>
      </c>
      <c r="E104" s="3" t="s">
        <v>201</v>
      </c>
      <c r="F104" s="3" t="s">
        <v>49</v>
      </c>
      <c r="G104" s="3">
        <v>1.2809999999999999</v>
      </c>
      <c r="H104" s="3">
        <v>7</v>
      </c>
      <c r="I104" s="4">
        <v>1</v>
      </c>
      <c r="J104" s="3" t="s">
        <v>263</v>
      </c>
      <c r="K104" s="3" t="s">
        <v>263</v>
      </c>
      <c r="L104" s="3" t="s">
        <v>263</v>
      </c>
      <c r="M104" s="3" t="s">
        <v>47</v>
      </c>
      <c r="N104" s="3" t="s">
        <v>407</v>
      </c>
      <c r="O104" s="3" t="s">
        <v>359</v>
      </c>
    </row>
    <row r="105" spans="1:15" x14ac:dyDescent="0.25">
      <c r="A105" s="3" t="s">
        <v>167</v>
      </c>
      <c r="B105" s="3" t="s">
        <v>152</v>
      </c>
      <c r="C105" s="3" t="s">
        <v>153</v>
      </c>
      <c r="D105" s="3" t="s">
        <v>43</v>
      </c>
      <c r="E105" s="3" t="s">
        <v>168</v>
      </c>
      <c r="F105" s="3" t="s">
        <v>45</v>
      </c>
      <c r="G105" s="3">
        <v>1.35</v>
      </c>
      <c r="H105" s="3">
        <v>10</v>
      </c>
      <c r="I105" s="4">
        <v>0</v>
      </c>
      <c r="J105" s="3" t="s">
        <v>263</v>
      </c>
      <c r="K105" s="3" t="s">
        <v>263</v>
      </c>
      <c r="L105" s="3" t="s">
        <v>263</v>
      </c>
      <c r="M105" s="3" t="s">
        <v>43</v>
      </c>
      <c r="N105" s="3" t="s">
        <v>407</v>
      </c>
      <c r="O105" s="3" t="s">
        <v>360</v>
      </c>
    </row>
    <row r="106" spans="1:15" x14ac:dyDescent="0.25">
      <c r="A106" s="3" t="s">
        <v>167</v>
      </c>
      <c r="B106" s="3" t="s">
        <v>152</v>
      </c>
      <c r="C106" s="3" t="s">
        <v>153</v>
      </c>
      <c r="D106" s="3" t="s">
        <v>43</v>
      </c>
      <c r="E106" s="3" t="s">
        <v>168</v>
      </c>
      <c r="F106" s="3" t="s">
        <v>45</v>
      </c>
      <c r="G106" s="3">
        <v>2.67</v>
      </c>
      <c r="H106" s="3">
        <v>10</v>
      </c>
      <c r="I106" s="4">
        <v>1</v>
      </c>
      <c r="J106" s="3" t="s">
        <v>263</v>
      </c>
      <c r="K106" s="3" t="s">
        <v>263</v>
      </c>
      <c r="L106" s="3" t="s">
        <v>263</v>
      </c>
      <c r="M106" s="3" t="s">
        <v>43</v>
      </c>
      <c r="N106" s="3" t="s">
        <v>407</v>
      </c>
      <c r="O106" s="3" t="s">
        <v>360</v>
      </c>
    </row>
    <row r="107" spans="1:15" x14ac:dyDescent="0.25">
      <c r="A107" s="3" t="s">
        <v>173</v>
      </c>
      <c r="B107" s="3" t="s">
        <v>145</v>
      </c>
      <c r="C107" s="3" t="s">
        <v>146</v>
      </c>
      <c r="D107" s="3" t="s">
        <v>78</v>
      </c>
      <c r="E107" s="3" t="s">
        <v>174</v>
      </c>
      <c r="F107" s="3" t="s">
        <v>73</v>
      </c>
      <c r="G107" s="3">
        <v>1.4962500000000001</v>
      </c>
      <c r="H107" s="3">
        <v>6</v>
      </c>
      <c r="I107" s="4">
        <v>0</v>
      </c>
      <c r="J107" s="3" t="s">
        <v>263</v>
      </c>
      <c r="K107" s="3" t="s">
        <v>263</v>
      </c>
      <c r="L107" s="3" t="s">
        <v>263</v>
      </c>
      <c r="M107" s="3" t="s">
        <v>78</v>
      </c>
      <c r="N107" s="3" t="s">
        <v>407</v>
      </c>
      <c r="O107" s="3" t="s">
        <v>361</v>
      </c>
    </row>
    <row r="108" spans="1:15" x14ac:dyDescent="0.25">
      <c r="A108" s="3" t="s">
        <v>173</v>
      </c>
      <c r="B108" s="3" t="s">
        <v>145</v>
      </c>
      <c r="C108" s="3" t="s">
        <v>146</v>
      </c>
      <c r="D108" s="3" t="s">
        <v>78</v>
      </c>
      <c r="E108" s="3" t="s">
        <v>174</v>
      </c>
      <c r="F108" s="3" t="s">
        <v>73</v>
      </c>
      <c r="G108" s="3">
        <v>1.61</v>
      </c>
      <c r="H108" s="3">
        <v>8</v>
      </c>
      <c r="I108" s="4">
        <v>1</v>
      </c>
      <c r="J108" s="3" t="s">
        <v>263</v>
      </c>
      <c r="K108" s="3" t="s">
        <v>263</v>
      </c>
      <c r="L108" s="3" t="s">
        <v>263</v>
      </c>
      <c r="M108" s="3" t="s">
        <v>78</v>
      </c>
      <c r="N108" s="3" t="s">
        <v>407</v>
      </c>
      <c r="O108" s="3" t="s">
        <v>361</v>
      </c>
    </row>
    <row r="109" spans="1:15" x14ac:dyDescent="0.25">
      <c r="A109" s="3" t="s">
        <v>121</v>
      </c>
      <c r="B109" s="3" t="s">
        <v>35</v>
      </c>
      <c r="C109" s="3" t="s">
        <v>36</v>
      </c>
      <c r="D109" s="3" t="s">
        <v>98</v>
      </c>
      <c r="E109" s="3" t="s">
        <v>122</v>
      </c>
      <c r="F109" s="3" t="s">
        <v>120</v>
      </c>
      <c r="G109" s="3">
        <v>12.805</v>
      </c>
      <c r="H109" s="3">
        <v>5</v>
      </c>
      <c r="I109" s="4">
        <v>0</v>
      </c>
      <c r="J109" s="3" t="s">
        <v>263</v>
      </c>
      <c r="K109" s="3" t="s">
        <v>263</v>
      </c>
      <c r="L109" s="3" t="s">
        <v>263</v>
      </c>
      <c r="M109" s="3" t="s">
        <v>98</v>
      </c>
      <c r="N109" s="3" t="s">
        <v>407</v>
      </c>
      <c r="O109" s="3" t="s">
        <v>362</v>
      </c>
    </row>
    <row r="110" spans="1:15" x14ac:dyDescent="0.25">
      <c r="A110" s="3" t="s">
        <v>121</v>
      </c>
      <c r="B110" s="3" t="s">
        <v>35</v>
      </c>
      <c r="C110" s="3" t="s">
        <v>36</v>
      </c>
      <c r="D110" s="3" t="s">
        <v>98</v>
      </c>
      <c r="E110" s="3" t="s">
        <v>122</v>
      </c>
      <c r="F110" s="3" t="s">
        <v>120</v>
      </c>
      <c r="G110" s="3">
        <v>12.7</v>
      </c>
      <c r="H110" s="3">
        <v>27</v>
      </c>
      <c r="I110" s="4">
        <v>1</v>
      </c>
      <c r="J110" s="3" t="s">
        <v>263</v>
      </c>
      <c r="K110" s="3" t="s">
        <v>263</v>
      </c>
      <c r="L110" s="3" t="s">
        <v>263</v>
      </c>
      <c r="M110" s="3" t="s">
        <v>98</v>
      </c>
      <c r="N110" s="3" t="s">
        <v>407</v>
      </c>
      <c r="O110" s="3" t="s">
        <v>362</v>
      </c>
    </row>
    <row r="111" spans="1:15" x14ac:dyDescent="0.25">
      <c r="A111" s="3" t="s">
        <v>204</v>
      </c>
      <c r="B111" s="3" t="s">
        <v>149</v>
      </c>
      <c r="C111" s="3" t="s">
        <v>36</v>
      </c>
      <c r="D111" s="3" t="s">
        <v>81</v>
      </c>
      <c r="E111" s="3" t="s">
        <v>205</v>
      </c>
      <c r="F111" s="3" t="s">
        <v>83</v>
      </c>
      <c r="G111" s="3">
        <v>13.416</v>
      </c>
      <c r="H111" s="3">
        <v>5</v>
      </c>
      <c r="I111" s="4">
        <v>0</v>
      </c>
      <c r="J111" s="3" t="s">
        <v>263</v>
      </c>
      <c r="K111" s="3" t="s">
        <v>263</v>
      </c>
      <c r="L111" s="3" t="s">
        <v>263</v>
      </c>
      <c r="M111" s="3" t="s">
        <v>81</v>
      </c>
      <c r="N111" s="3" t="s">
        <v>407</v>
      </c>
      <c r="O111" s="3" t="s">
        <v>363</v>
      </c>
    </row>
    <row r="112" spans="1:15" x14ac:dyDescent="0.25">
      <c r="A112" s="3" t="s">
        <v>204</v>
      </c>
      <c r="B112" s="3" t="s">
        <v>149</v>
      </c>
      <c r="C112" s="3" t="s">
        <v>36</v>
      </c>
      <c r="D112" s="3" t="s">
        <v>81</v>
      </c>
      <c r="E112" s="3" t="s">
        <v>205</v>
      </c>
      <c r="F112" s="3" t="s">
        <v>83</v>
      </c>
      <c r="G112" s="3">
        <v>13.45</v>
      </c>
      <c r="H112" s="3">
        <v>28</v>
      </c>
      <c r="I112" s="4">
        <v>1</v>
      </c>
      <c r="J112" s="3" t="s">
        <v>263</v>
      </c>
      <c r="K112" s="3" t="s">
        <v>263</v>
      </c>
      <c r="L112" s="3" t="s">
        <v>263</v>
      </c>
      <c r="M112" s="3" t="s">
        <v>81</v>
      </c>
      <c r="N112" s="3" t="s">
        <v>407</v>
      </c>
      <c r="O112" s="3" t="s">
        <v>363</v>
      </c>
    </row>
    <row r="113" spans="1:15" x14ac:dyDescent="0.25">
      <c r="A113" s="3" t="s">
        <v>179</v>
      </c>
      <c r="B113" s="3" t="s">
        <v>162</v>
      </c>
      <c r="C113" s="3" t="s">
        <v>163</v>
      </c>
      <c r="D113" s="3" t="s">
        <v>109</v>
      </c>
      <c r="E113" s="3" t="s">
        <v>180</v>
      </c>
      <c r="F113" s="3" t="s">
        <v>110</v>
      </c>
      <c r="G113" s="3">
        <v>3.13</v>
      </c>
      <c r="H113" s="3">
        <v>10</v>
      </c>
      <c r="I113" s="4">
        <v>1</v>
      </c>
      <c r="J113" s="3" t="s">
        <v>263</v>
      </c>
      <c r="K113" s="3" t="s">
        <v>263</v>
      </c>
      <c r="L113" s="3" t="s">
        <v>263</v>
      </c>
      <c r="M113" s="3" t="s">
        <v>109</v>
      </c>
      <c r="N113" s="3" t="s">
        <v>407</v>
      </c>
      <c r="O113" s="3" t="s">
        <v>364</v>
      </c>
    </row>
    <row r="114" spans="1:15" x14ac:dyDescent="0.25">
      <c r="A114" s="3" t="s">
        <v>179</v>
      </c>
      <c r="B114" s="3" t="s">
        <v>162</v>
      </c>
      <c r="C114" s="3" t="s">
        <v>163</v>
      </c>
      <c r="D114" s="3" t="s">
        <v>109</v>
      </c>
      <c r="E114" s="3" t="s">
        <v>180</v>
      </c>
      <c r="F114" s="3" t="s">
        <v>110</v>
      </c>
      <c r="G114" s="3">
        <v>1.6225000000000001</v>
      </c>
      <c r="H114" s="3">
        <v>0</v>
      </c>
      <c r="I114" s="4">
        <v>0</v>
      </c>
      <c r="J114" s="3" t="s">
        <v>263</v>
      </c>
      <c r="K114" s="3" t="s">
        <v>263</v>
      </c>
      <c r="L114" s="3" t="s">
        <v>263</v>
      </c>
      <c r="M114" s="3" t="s">
        <v>109</v>
      </c>
      <c r="N114" s="3" t="s">
        <v>407</v>
      </c>
      <c r="O114" s="3" t="s">
        <v>364</v>
      </c>
    </row>
    <row r="115" spans="1:15" x14ac:dyDescent="0.25">
      <c r="A115" s="3" t="s">
        <v>138</v>
      </c>
      <c r="B115" s="3" t="s">
        <v>35</v>
      </c>
      <c r="C115" s="3" t="s">
        <v>36</v>
      </c>
      <c r="D115" s="3" t="s">
        <v>125</v>
      </c>
      <c r="E115" s="3" t="s">
        <v>139</v>
      </c>
      <c r="F115" s="3" t="s">
        <v>126</v>
      </c>
      <c r="G115" s="3">
        <v>14.026999999999999</v>
      </c>
      <c r="H115" s="3">
        <v>3</v>
      </c>
      <c r="I115" s="4">
        <v>0</v>
      </c>
      <c r="J115" s="3" t="s">
        <v>263</v>
      </c>
      <c r="K115" s="3" t="s">
        <v>263</v>
      </c>
      <c r="L115" s="3" t="s">
        <v>263</v>
      </c>
      <c r="M115" s="3" t="s">
        <v>125</v>
      </c>
      <c r="N115" s="3" t="s">
        <v>407</v>
      </c>
      <c r="O115" s="3" t="s">
        <v>365</v>
      </c>
    </row>
    <row r="116" spans="1:15" x14ac:dyDescent="0.25">
      <c r="A116" s="3" t="s">
        <v>138</v>
      </c>
      <c r="B116" s="3" t="s">
        <v>35</v>
      </c>
      <c r="C116" s="3" t="s">
        <v>36</v>
      </c>
      <c r="D116" s="3" t="s">
        <v>125</v>
      </c>
      <c r="E116" s="3" t="s">
        <v>139</v>
      </c>
      <c r="F116" s="3" t="s">
        <v>126</v>
      </c>
      <c r="G116" s="3">
        <v>14.2</v>
      </c>
      <c r="H116" s="3">
        <v>37</v>
      </c>
      <c r="I116" s="4">
        <v>1</v>
      </c>
      <c r="J116" s="3" t="s">
        <v>263</v>
      </c>
      <c r="K116" s="3" t="s">
        <v>263</v>
      </c>
      <c r="L116" s="3" t="s">
        <v>263</v>
      </c>
      <c r="M116" s="3" t="s">
        <v>125</v>
      </c>
      <c r="N116" s="3" t="s">
        <v>407</v>
      </c>
      <c r="O116" s="3" t="s">
        <v>365</v>
      </c>
    </row>
    <row r="117" spans="1:15" x14ac:dyDescent="0.25">
      <c r="A117" s="3" t="s">
        <v>84</v>
      </c>
      <c r="B117" s="3" t="s">
        <v>35</v>
      </c>
      <c r="C117" s="3" t="s">
        <v>36</v>
      </c>
      <c r="D117" s="3" t="s">
        <v>37</v>
      </c>
      <c r="E117" s="3" t="s">
        <v>86</v>
      </c>
      <c r="F117" s="3" t="s">
        <v>87</v>
      </c>
      <c r="G117" s="3">
        <v>14.638</v>
      </c>
      <c r="H117" s="3">
        <v>4</v>
      </c>
      <c r="I117" s="4">
        <v>0</v>
      </c>
      <c r="J117" s="3" t="s">
        <v>263</v>
      </c>
      <c r="K117" s="3" t="s">
        <v>263</v>
      </c>
      <c r="L117" s="3" t="s">
        <v>263</v>
      </c>
      <c r="M117" s="3" t="s">
        <v>37</v>
      </c>
      <c r="N117" s="3" t="s">
        <v>407</v>
      </c>
      <c r="O117" s="3" t="s">
        <v>366</v>
      </c>
    </row>
    <row r="118" spans="1:15" x14ac:dyDescent="0.25">
      <c r="A118" s="3" t="s">
        <v>84</v>
      </c>
      <c r="B118" s="3" t="s">
        <v>35</v>
      </c>
      <c r="C118" s="3" t="s">
        <v>36</v>
      </c>
      <c r="D118" s="3" t="s">
        <v>37</v>
      </c>
      <c r="E118" s="3" t="s">
        <v>86</v>
      </c>
      <c r="F118" s="3" t="s">
        <v>87</v>
      </c>
      <c r="G118" s="3">
        <v>15</v>
      </c>
      <c r="H118" s="3">
        <v>38</v>
      </c>
      <c r="I118" s="4">
        <v>1</v>
      </c>
      <c r="J118" s="3" t="s">
        <v>263</v>
      </c>
      <c r="K118" s="3" t="s">
        <v>263</v>
      </c>
      <c r="L118" s="3" t="s">
        <v>263</v>
      </c>
      <c r="M118" s="3" t="s">
        <v>37</v>
      </c>
      <c r="N118" s="3" t="s">
        <v>407</v>
      </c>
      <c r="O118" s="3" t="s">
        <v>366</v>
      </c>
    </row>
    <row r="119" spans="1:15" x14ac:dyDescent="0.25">
      <c r="A119" s="3" t="s">
        <v>74</v>
      </c>
      <c r="B119" s="3" t="s">
        <v>35</v>
      </c>
      <c r="C119" s="3" t="s">
        <v>36</v>
      </c>
      <c r="D119" s="3" t="s">
        <v>268</v>
      </c>
      <c r="E119" s="3" t="s">
        <v>76</v>
      </c>
      <c r="F119" s="3" t="s">
        <v>77</v>
      </c>
      <c r="G119" s="3">
        <v>15.361000000000001</v>
      </c>
      <c r="H119" s="3">
        <v>1</v>
      </c>
      <c r="I119" s="4">
        <v>0</v>
      </c>
      <c r="J119" s="3" t="s">
        <v>272</v>
      </c>
      <c r="K119" s="3" t="s">
        <v>140</v>
      </c>
      <c r="L119" s="3" t="s">
        <v>272</v>
      </c>
      <c r="M119" s="3" t="s">
        <v>268</v>
      </c>
      <c r="N119" s="3" t="s">
        <v>408</v>
      </c>
      <c r="O119" s="3" t="s">
        <v>367</v>
      </c>
    </row>
    <row r="120" spans="1:15" x14ac:dyDescent="0.25">
      <c r="A120" s="3" t="s">
        <v>74</v>
      </c>
      <c r="B120" s="3" t="s">
        <v>35</v>
      </c>
      <c r="C120" s="3" t="s">
        <v>36</v>
      </c>
      <c r="D120" s="3" t="s">
        <v>268</v>
      </c>
      <c r="E120" s="3" t="s">
        <v>76</v>
      </c>
      <c r="F120" s="3" t="s">
        <v>77</v>
      </c>
      <c r="G120" s="3">
        <v>15.75</v>
      </c>
      <c r="H120" s="3">
        <v>1</v>
      </c>
      <c r="I120" s="4">
        <v>1</v>
      </c>
      <c r="J120" s="3" t="s">
        <v>272</v>
      </c>
      <c r="K120" s="3" t="s">
        <v>140</v>
      </c>
      <c r="L120" s="3" t="s">
        <v>272</v>
      </c>
      <c r="M120" s="3" t="s">
        <v>268</v>
      </c>
      <c r="N120" s="3" t="s">
        <v>408</v>
      </c>
      <c r="O120" s="3" t="s">
        <v>367</v>
      </c>
    </row>
    <row r="121" spans="1:15" x14ac:dyDescent="0.25">
      <c r="A121" s="3" t="s">
        <v>70</v>
      </c>
      <c r="B121" s="3" t="s">
        <v>35</v>
      </c>
      <c r="C121" s="3" t="s">
        <v>36</v>
      </c>
      <c r="D121" s="3" t="s">
        <v>81</v>
      </c>
      <c r="E121" s="3" t="s">
        <v>71</v>
      </c>
      <c r="F121" s="3" t="s">
        <v>65</v>
      </c>
      <c r="G121" s="3">
        <v>15.972</v>
      </c>
      <c r="H121" s="3">
        <v>6</v>
      </c>
      <c r="I121" s="4">
        <v>0</v>
      </c>
      <c r="J121" s="3" t="s">
        <v>272</v>
      </c>
      <c r="K121" s="3" t="s">
        <v>140</v>
      </c>
      <c r="L121" s="3" t="s">
        <v>272</v>
      </c>
      <c r="M121" s="3" t="s">
        <v>81</v>
      </c>
      <c r="N121" s="3" t="s">
        <v>408</v>
      </c>
      <c r="O121" s="3" t="s">
        <v>368</v>
      </c>
    </row>
    <row r="122" spans="1:15" x14ac:dyDescent="0.25">
      <c r="A122" s="3" t="s">
        <v>70</v>
      </c>
      <c r="B122" s="3" t="s">
        <v>35</v>
      </c>
      <c r="C122" s="3" t="s">
        <v>36</v>
      </c>
      <c r="D122" s="3" t="s">
        <v>81</v>
      </c>
      <c r="E122" s="3" t="s">
        <v>71</v>
      </c>
      <c r="F122" s="3" t="s">
        <v>65</v>
      </c>
      <c r="G122" s="3">
        <v>16.5</v>
      </c>
      <c r="H122" s="3">
        <v>2</v>
      </c>
      <c r="I122" s="4">
        <v>1</v>
      </c>
      <c r="J122" s="3" t="s">
        <v>272</v>
      </c>
      <c r="K122" s="3" t="s">
        <v>140</v>
      </c>
      <c r="L122" s="3" t="s">
        <v>272</v>
      </c>
      <c r="M122" s="3" t="s">
        <v>81</v>
      </c>
      <c r="N122" s="3" t="s">
        <v>408</v>
      </c>
      <c r="O122" s="3" t="s">
        <v>368</v>
      </c>
    </row>
    <row r="123" spans="1:15" x14ac:dyDescent="0.25">
      <c r="A123" s="3" t="s">
        <v>50</v>
      </c>
      <c r="B123" s="3" t="s">
        <v>35</v>
      </c>
      <c r="C123" s="3" t="s">
        <v>36</v>
      </c>
      <c r="D123" s="3" t="s">
        <v>98</v>
      </c>
      <c r="E123" s="3" t="s">
        <v>51</v>
      </c>
      <c r="F123" s="3" t="s">
        <v>49</v>
      </c>
      <c r="G123" s="3">
        <v>16.582999999999998</v>
      </c>
      <c r="H123" s="3">
        <v>1</v>
      </c>
      <c r="I123" s="4">
        <v>0</v>
      </c>
      <c r="J123" s="3" t="s">
        <v>271</v>
      </c>
      <c r="K123" s="3" t="s">
        <v>140</v>
      </c>
      <c r="L123" s="3" t="s">
        <v>271</v>
      </c>
      <c r="M123" s="3" t="s">
        <v>98</v>
      </c>
      <c r="N123" s="3" t="s">
        <v>408</v>
      </c>
      <c r="O123" s="3" t="s">
        <v>369</v>
      </c>
    </row>
    <row r="124" spans="1:15" x14ac:dyDescent="0.25">
      <c r="A124" s="3" t="s">
        <v>50</v>
      </c>
      <c r="B124" s="3" t="s">
        <v>35</v>
      </c>
      <c r="C124" s="3" t="s">
        <v>36</v>
      </c>
      <c r="D124" s="3" t="s">
        <v>98</v>
      </c>
      <c r="E124" s="3" t="s">
        <v>51</v>
      </c>
      <c r="F124" s="3" t="s">
        <v>49</v>
      </c>
      <c r="G124" s="3">
        <v>17.274999999999999</v>
      </c>
      <c r="H124" s="3">
        <v>3</v>
      </c>
      <c r="I124" s="4">
        <v>1</v>
      </c>
      <c r="J124" s="3" t="s">
        <v>271</v>
      </c>
      <c r="K124" s="3" t="s">
        <v>140</v>
      </c>
      <c r="L124" s="3" t="s">
        <v>271</v>
      </c>
      <c r="M124" s="3" t="s">
        <v>98</v>
      </c>
      <c r="N124" s="3" t="s">
        <v>408</v>
      </c>
      <c r="O124" s="3" t="s">
        <v>369</v>
      </c>
    </row>
    <row r="125" spans="1:15" x14ac:dyDescent="0.25">
      <c r="A125" s="3" t="s">
        <v>159</v>
      </c>
      <c r="B125" s="3" t="s">
        <v>145</v>
      </c>
      <c r="C125" s="3" t="s">
        <v>146</v>
      </c>
      <c r="D125" s="3" t="s">
        <v>89</v>
      </c>
      <c r="E125" s="3" t="s">
        <v>160</v>
      </c>
      <c r="F125" s="3" t="s">
        <v>90</v>
      </c>
      <c r="G125" s="3">
        <v>1.91</v>
      </c>
      <c r="H125" s="3">
        <v>4</v>
      </c>
      <c r="I125" s="4">
        <v>1</v>
      </c>
      <c r="J125" s="3" t="s">
        <v>272</v>
      </c>
      <c r="K125" s="3" t="s">
        <v>140</v>
      </c>
      <c r="L125" s="3" t="s">
        <v>272</v>
      </c>
      <c r="M125" s="3" t="s">
        <v>89</v>
      </c>
      <c r="N125" s="3" t="s">
        <v>408</v>
      </c>
      <c r="O125" s="3" t="s">
        <v>370</v>
      </c>
    </row>
    <row r="126" spans="1:15" x14ac:dyDescent="0.25">
      <c r="A126" s="3" t="s">
        <v>159</v>
      </c>
      <c r="B126" s="3" t="s">
        <v>145</v>
      </c>
      <c r="C126" s="3" t="s">
        <v>146</v>
      </c>
      <c r="D126" s="3" t="s">
        <v>89</v>
      </c>
      <c r="E126" s="3" t="s">
        <v>160</v>
      </c>
      <c r="F126" s="3" t="s">
        <v>90</v>
      </c>
      <c r="G126" s="3">
        <v>1.825</v>
      </c>
      <c r="H126" s="3">
        <v>2</v>
      </c>
      <c r="I126" s="4">
        <v>0</v>
      </c>
      <c r="J126" s="3" t="s">
        <v>272</v>
      </c>
      <c r="K126" s="3" t="s">
        <v>140</v>
      </c>
      <c r="L126" s="3" t="s">
        <v>272</v>
      </c>
      <c r="M126" s="3" t="s">
        <v>89</v>
      </c>
      <c r="N126" s="3" t="s">
        <v>408</v>
      </c>
      <c r="O126" s="3" t="s">
        <v>370</v>
      </c>
    </row>
    <row r="127" spans="1:15" x14ac:dyDescent="0.25">
      <c r="A127" s="3" t="s">
        <v>151</v>
      </c>
      <c r="B127" s="3" t="s">
        <v>152</v>
      </c>
      <c r="C127" s="3" t="s">
        <v>153</v>
      </c>
      <c r="D127" s="3" t="s">
        <v>109</v>
      </c>
      <c r="E127" s="3" t="s">
        <v>154</v>
      </c>
      <c r="F127" s="3" t="s">
        <v>110</v>
      </c>
      <c r="G127" s="3">
        <v>1.825</v>
      </c>
      <c r="H127" s="3">
        <v>8</v>
      </c>
      <c r="I127" s="4">
        <v>0</v>
      </c>
      <c r="J127" s="3" t="s">
        <v>271</v>
      </c>
      <c r="K127" s="3" t="s">
        <v>140</v>
      </c>
      <c r="L127" s="3" t="s">
        <v>271</v>
      </c>
      <c r="M127" s="3" t="s">
        <v>109</v>
      </c>
      <c r="N127" s="3" t="s">
        <v>408</v>
      </c>
      <c r="O127" s="3" t="s">
        <v>371</v>
      </c>
    </row>
    <row r="128" spans="1:15" x14ac:dyDescent="0.25">
      <c r="A128" s="3" t="s">
        <v>151</v>
      </c>
      <c r="B128" s="3" t="s">
        <v>152</v>
      </c>
      <c r="C128" s="3" t="s">
        <v>153</v>
      </c>
      <c r="D128" s="3" t="s">
        <v>109</v>
      </c>
      <c r="E128" s="3" t="s">
        <v>154</v>
      </c>
      <c r="F128" s="3" t="s">
        <v>110</v>
      </c>
      <c r="G128" s="3">
        <v>2.9</v>
      </c>
      <c r="H128" s="3">
        <v>8</v>
      </c>
      <c r="I128" s="4">
        <v>1</v>
      </c>
      <c r="J128" s="3" t="s">
        <v>271</v>
      </c>
      <c r="K128" s="3" t="s">
        <v>140</v>
      </c>
      <c r="L128" s="3" t="s">
        <v>271</v>
      </c>
      <c r="M128" s="3" t="s">
        <v>109</v>
      </c>
      <c r="N128" s="3" t="s">
        <v>408</v>
      </c>
      <c r="O128" s="3" t="s">
        <v>371</v>
      </c>
    </row>
    <row r="129" spans="1:15" x14ac:dyDescent="0.25">
      <c r="A129" s="3" t="s">
        <v>161</v>
      </c>
      <c r="B129" s="3" t="s">
        <v>162</v>
      </c>
      <c r="C129" s="3" t="s">
        <v>163</v>
      </c>
      <c r="D129" s="3" t="s">
        <v>85</v>
      </c>
      <c r="E129" s="3" t="s">
        <v>164</v>
      </c>
      <c r="F129" s="3" t="s">
        <v>87</v>
      </c>
      <c r="G129" s="3">
        <v>2.0299999999999998</v>
      </c>
      <c r="H129" s="3">
        <v>2</v>
      </c>
      <c r="I129" s="4">
        <v>0</v>
      </c>
      <c r="J129" s="3" t="s">
        <v>271</v>
      </c>
      <c r="K129" s="3" t="s">
        <v>140</v>
      </c>
      <c r="L129" s="3" t="s">
        <v>271</v>
      </c>
      <c r="M129" s="3" t="s">
        <v>85</v>
      </c>
      <c r="N129" s="3" t="s">
        <v>408</v>
      </c>
      <c r="O129" s="3" t="s">
        <v>372</v>
      </c>
    </row>
    <row r="130" spans="1:15" x14ac:dyDescent="0.25">
      <c r="A130" s="3" t="s">
        <v>161</v>
      </c>
      <c r="B130" s="3" t="s">
        <v>162</v>
      </c>
      <c r="C130" s="3" t="s">
        <v>163</v>
      </c>
      <c r="D130" s="3" t="s">
        <v>85</v>
      </c>
      <c r="E130" s="3" t="s">
        <v>164</v>
      </c>
      <c r="F130" s="3" t="s">
        <v>87</v>
      </c>
      <c r="G130" s="3">
        <v>3.3849999999999998</v>
      </c>
      <c r="H130" s="3">
        <v>8</v>
      </c>
      <c r="I130" s="4">
        <v>1</v>
      </c>
      <c r="J130" s="3" t="s">
        <v>271</v>
      </c>
      <c r="K130" s="3" t="s">
        <v>140</v>
      </c>
      <c r="L130" s="3" t="s">
        <v>271</v>
      </c>
      <c r="M130" s="3" t="s">
        <v>85</v>
      </c>
      <c r="N130" s="3" t="s">
        <v>408</v>
      </c>
      <c r="O130" s="3" t="s">
        <v>372</v>
      </c>
    </row>
    <row r="131" spans="1:15" x14ac:dyDescent="0.25">
      <c r="A131" s="3" t="s">
        <v>91</v>
      </c>
      <c r="B131" s="3" t="s">
        <v>35</v>
      </c>
      <c r="C131" s="3" t="s">
        <v>36</v>
      </c>
      <c r="D131" s="3" t="s">
        <v>63</v>
      </c>
      <c r="E131" s="3" t="s">
        <v>92</v>
      </c>
      <c r="F131" s="3" t="s">
        <v>61</v>
      </c>
      <c r="G131" s="3">
        <v>18.05</v>
      </c>
      <c r="H131" s="3">
        <v>25</v>
      </c>
      <c r="I131" s="4">
        <v>1</v>
      </c>
      <c r="J131" s="3" t="s">
        <v>272</v>
      </c>
      <c r="K131" s="3" t="s">
        <v>140</v>
      </c>
      <c r="L131" s="3" t="s">
        <v>272</v>
      </c>
      <c r="M131" s="3" t="s">
        <v>63</v>
      </c>
      <c r="N131" s="3" t="s">
        <v>408</v>
      </c>
      <c r="O131" s="3" t="s">
        <v>373</v>
      </c>
    </row>
    <row r="132" spans="1:15" x14ac:dyDescent="0.25">
      <c r="A132" s="3" t="s">
        <v>91</v>
      </c>
      <c r="B132" s="3" t="s">
        <v>35</v>
      </c>
      <c r="C132" s="3" t="s">
        <v>36</v>
      </c>
      <c r="D132" s="3" t="s">
        <v>63</v>
      </c>
      <c r="E132" s="3" t="s">
        <v>92</v>
      </c>
      <c r="F132" s="3" t="s">
        <v>61</v>
      </c>
      <c r="G132" s="3">
        <v>17.193999999999999</v>
      </c>
      <c r="H132" s="3">
        <v>2</v>
      </c>
      <c r="I132" s="4">
        <v>0</v>
      </c>
      <c r="J132" s="3" t="s">
        <v>272</v>
      </c>
      <c r="K132" s="3" t="s">
        <v>140</v>
      </c>
      <c r="L132" s="3" t="s">
        <v>272</v>
      </c>
      <c r="M132" s="3" t="s">
        <v>63</v>
      </c>
      <c r="N132" s="3" t="s">
        <v>408</v>
      </c>
      <c r="O132" s="3" t="s">
        <v>373</v>
      </c>
    </row>
    <row r="133" spans="1:15" x14ac:dyDescent="0.25">
      <c r="A133" s="3" t="s">
        <v>95</v>
      </c>
      <c r="B133" s="3" t="s">
        <v>35</v>
      </c>
      <c r="C133" s="3" t="s">
        <v>36</v>
      </c>
      <c r="D133" s="3" t="s">
        <v>125</v>
      </c>
      <c r="E133" s="3" t="s">
        <v>96</v>
      </c>
      <c r="F133" s="3" t="s">
        <v>73</v>
      </c>
      <c r="G133" s="3">
        <v>18.850000000000001</v>
      </c>
      <c r="H133" s="3">
        <v>26</v>
      </c>
      <c r="I133" s="4">
        <v>1</v>
      </c>
      <c r="J133" s="3" t="s">
        <v>271</v>
      </c>
      <c r="K133" s="3" t="s">
        <v>140</v>
      </c>
      <c r="L133" s="3" t="s">
        <v>271</v>
      </c>
      <c r="M133" s="3" t="s">
        <v>125</v>
      </c>
      <c r="N133" s="3" t="s">
        <v>408</v>
      </c>
      <c r="O133" s="3" t="s">
        <v>374</v>
      </c>
    </row>
    <row r="134" spans="1:15" x14ac:dyDescent="0.25">
      <c r="A134" s="3" t="s">
        <v>95</v>
      </c>
      <c r="B134" s="3" t="s">
        <v>35</v>
      </c>
      <c r="C134" s="3" t="s">
        <v>36</v>
      </c>
      <c r="D134" s="3" t="s">
        <v>125</v>
      </c>
      <c r="E134" s="3" t="s">
        <v>96</v>
      </c>
      <c r="F134" s="3" t="s">
        <v>73</v>
      </c>
      <c r="G134" s="3">
        <v>17.805</v>
      </c>
      <c r="H134" s="3">
        <v>6</v>
      </c>
      <c r="I134" s="4">
        <v>0</v>
      </c>
      <c r="J134" s="3" t="s">
        <v>271</v>
      </c>
      <c r="K134" s="3" t="s">
        <v>140</v>
      </c>
      <c r="L134" s="3" t="s">
        <v>271</v>
      </c>
      <c r="M134" s="3" t="s">
        <v>125</v>
      </c>
      <c r="N134" s="3" t="s">
        <v>408</v>
      </c>
      <c r="O134" s="3" t="s">
        <v>374</v>
      </c>
    </row>
    <row r="135" spans="1:15" x14ac:dyDescent="0.25">
      <c r="A135" s="3" t="s">
        <v>155</v>
      </c>
      <c r="B135" s="3" t="s">
        <v>149</v>
      </c>
      <c r="C135" s="3" t="s">
        <v>36</v>
      </c>
      <c r="D135" s="3" t="s">
        <v>43</v>
      </c>
      <c r="E135" s="3" t="s">
        <v>156</v>
      </c>
      <c r="F135" s="3" t="s">
        <v>45</v>
      </c>
      <c r="G135" s="3">
        <v>19.600000000000001</v>
      </c>
      <c r="H135" s="3">
        <v>32</v>
      </c>
      <c r="I135" s="4">
        <v>1</v>
      </c>
      <c r="J135" s="3" t="s">
        <v>271</v>
      </c>
      <c r="K135" s="3" t="s">
        <v>140</v>
      </c>
      <c r="L135" s="3" t="s">
        <v>271</v>
      </c>
      <c r="M135" s="3" t="s">
        <v>43</v>
      </c>
      <c r="N135" s="3" t="s">
        <v>408</v>
      </c>
      <c r="O135" s="3" t="s">
        <v>375</v>
      </c>
    </row>
    <row r="136" spans="1:15" x14ac:dyDescent="0.25">
      <c r="A136" s="3" t="s">
        <v>155</v>
      </c>
      <c r="B136" s="3" t="s">
        <v>149</v>
      </c>
      <c r="C136" s="3" t="s">
        <v>36</v>
      </c>
      <c r="D136" s="3" t="s">
        <v>43</v>
      </c>
      <c r="E136" s="3" t="s">
        <v>156</v>
      </c>
      <c r="F136" s="3" t="s">
        <v>45</v>
      </c>
      <c r="G136" s="3">
        <v>18.416</v>
      </c>
      <c r="H136" s="3">
        <v>2</v>
      </c>
      <c r="I136" s="4">
        <v>0</v>
      </c>
      <c r="J136" s="3" t="s">
        <v>271</v>
      </c>
      <c r="K136" s="3" t="s">
        <v>140</v>
      </c>
      <c r="L136" s="3" t="s">
        <v>271</v>
      </c>
      <c r="M136" s="3" t="s">
        <v>43</v>
      </c>
      <c r="N136" s="3" t="s">
        <v>408</v>
      </c>
      <c r="O136" s="3" t="s">
        <v>375</v>
      </c>
    </row>
    <row r="137" spans="1:15" x14ac:dyDescent="0.25">
      <c r="A137" s="3" t="s">
        <v>148</v>
      </c>
      <c r="B137" s="3" t="s">
        <v>149</v>
      </c>
      <c r="C137" s="3" t="s">
        <v>36</v>
      </c>
      <c r="D137" s="3" t="s">
        <v>109</v>
      </c>
      <c r="E137" s="3" t="s">
        <v>150</v>
      </c>
      <c r="F137" s="3" t="s">
        <v>110</v>
      </c>
      <c r="G137" s="3">
        <v>20.375</v>
      </c>
      <c r="H137" s="3">
        <v>36</v>
      </c>
      <c r="I137" s="4">
        <v>1</v>
      </c>
      <c r="J137" s="3" t="s">
        <v>272</v>
      </c>
      <c r="K137" s="3" t="s">
        <v>140</v>
      </c>
      <c r="L137" s="3" t="s">
        <v>272</v>
      </c>
      <c r="M137" s="3" t="s">
        <v>109</v>
      </c>
      <c r="N137" s="3" t="s">
        <v>408</v>
      </c>
      <c r="O137" s="3" t="s">
        <v>376</v>
      </c>
    </row>
    <row r="138" spans="1:15" x14ac:dyDescent="0.25">
      <c r="A138" s="3" t="s">
        <v>148</v>
      </c>
      <c r="B138" s="3" t="s">
        <v>149</v>
      </c>
      <c r="C138" s="3" t="s">
        <v>36</v>
      </c>
      <c r="D138" s="3" t="s">
        <v>109</v>
      </c>
      <c r="E138" s="3" t="s">
        <v>150</v>
      </c>
      <c r="F138" s="3" t="s">
        <v>110</v>
      </c>
      <c r="G138" s="3">
        <v>19.027000000000001</v>
      </c>
      <c r="H138" s="3">
        <v>6</v>
      </c>
      <c r="I138" s="4">
        <v>0</v>
      </c>
      <c r="J138" s="3" t="s">
        <v>272</v>
      </c>
      <c r="K138" s="3" t="s">
        <v>140</v>
      </c>
      <c r="L138" s="3" t="s">
        <v>272</v>
      </c>
      <c r="M138" s="3" t="s">
        <v>109</v>
      </c>
      <c r="N138" s="3" t="s">
        <v>408</v>
      </c>
      <c r="O138" s="3" t="s">
        <v>376</v>
      </c>
    </row>
    <row r="139" spans="1:15" x14ac:dyDescent="0.25">
      <c r="A139" s="3" t="s">
        <v>177</v>
      </c>
      <c r="B139" s="3" t="s">
        <v>170</v>
      </c>
      <c r="C139" s="3" t="s">
        <v>171</v>
      </c>
      <c r="D139" s="3" t="s">
        <v>119</v>
      </c>
      <c r="E139" s="3" t="s">
        <v>178</v>
      </c>
      <c r="F139" s="3" t="s">
        <v>100</v>
      </c>
      <c r="G139" s="3">
        <v>1.95</v>
      </c>
      <c r="H139" s="3">
        <v>6</v>
      </c>
      <c r="I139" s="4">
        <v>0</v>
      </c>
      <c r="J139" s="3" t="s">
        <v>140</v>
      </c>
      <c r="K139" s="3" t="s">
        <v>140</v>
      </c>
      <c r="L139" s="3" t="s">
        <v>140</v>
      </c>
      <c r="M139" s="3" t="s">
        <v>119</v>
      </c>
      <c r="N139" s="3" t="s">
        <v>408</v>
      </c>
      <c r="O139" s="3" t="s">
        <v>377</v>
      </c>
    </row>
    <row r="140" spans="1:15" x14ac:dyDescent="0.25">
      <c r="A140" s="3" t="s">
        <v>177</v>
      </c>
      <c r="B140" s="3" t="s">
        <v>170</v>
      </c>
      <c r="C140" s="3" t="s">
        <v>171</v>
      </c>
      <c r="D140" s="3" t="s">
        <v>119</v>
      </c>
      <c r="E140" s="3" t="s">
        <v>178</v>
      </c>
      <c r="F140" s="3" t="s">
        <v>100</v>
      </c>
      <c r="G140" s="3">
        <v>3.085</v>
      </c>
      <c r="H140" s="3">
        <v>11</v>
      </c>
      <c r="I140" s="4">
        <v>1</v>
      </c>
      <c r="J140" s="3" t="s">
        <v>140</v>
      </c>
      <c r="K140" s="3" t="s">
        <v>140</v>
      </c>
      <c r="L140" s="3" t="s">
        <v>140</v>
      </c>
      <c r="M140" s="3" t="s">
        <v>119</v>
      </c>
      <c r="N140" s="3" t="s">
        <v>408</v>
      </c>
      <c r="O140" s="3" t="s">
        <v>377</v>
      </c>
    </row>
    <row r="141" spans="1:15" x14ac:dyDescent="0.25">
      <c r="A141" s="3" t="s">
        <v>58</v>
      </c>
      <c r="B141" s="3" t="s">
        <v>35</v>
      </c>
      <c r="C141" s="3" t="s">
        <v>36</v>
      </c>
      <c r="D141" s="3" t="s">
        <v>119</v>
      </c>
      <c r="E141" s="3" t="s">
        <v>59</v>
      </c>
      <c r="F141" s="3" t="s">
        <v>55</v>
      </c>
      <c r="G141" s="3">
        <v>19.638000000000002</v>
      </c>
      <c r="H141" s="3">
        <v>5</v>
      </c>
      <c r="I141" s="4">
        <v>0</v>
      </c>
      <c r="J141" s="3" t="s">
        <v>140</v>
      </c>
      <c r="K141" s="3" t="s">
        <v>140</v>
      </c>
      <c r="L141" s="3" t="s">
        <v>140</v>
      </c>
      <c r="M141" s="3" t="s">
        <v>119</v>
      </c>
      <c r="N141" s="3" t="s">
        <v>408</v>
      </c>
      <c r="O141" s="3" t="s">
        <v>379</v>
      </c>
    </row>
    <row r="142" spans="1:15" x14ac:dyDescent="0.25">
      <c r="A142" s="3" t="s">
        <v>58</v>
      </c>
      <c r="B142" s="3" t="s">
        <v>35</v>
      </c>
      <c r="C142" s="3" t="s">
        <v>36</v>
      </c>
      <c r="D142" s="3" t="s">
        <v>119</v>
      </c>
      <c r="E142" s="3" t="s">
        <v>59</v>
      </c>
      <c r="F142" s="3" t="s">
        <v>55</v>
      </c>
      <c r="G142" s="3">
        <v>21.2</v>
      </c>
      <c r="H142" s="3">
        <v>39</v>
      </c>
      <c r="I142" s="4">
        <v>1</v>
      </c>
      <c r="J142" s="3" t="s">
        <v>140</v>
      </c>
      <c r="K142" s="3" t="s">
        <v>140</v>
      </c>
      <c r="L142" s="3" t="s">
        <v>140</v>
      </c>
      <c r="M142" s="3" t="s">
        <v>119</v>
      </c>
      <c r="N142" s="3" t="s">
        <v>408</v>
      </c>
      <c r="O142" s="3" t="s">
        <v>379</v>
      </c>
    </row>
    <row r="143" spans="1:15" x14ac:dyDescent="0.25">
      <c r="A143" s="3" t="s">
        <v>66</v>
      </c>
      <c r="B143" s="3" t="s">
        <v>35</v>
      </c>
      <c r="C143" s="3" t="s">
        <v>36</v>
      </c>
      <c r="D143" s="3" t="s">
        <v>89</v>
      </c>
      <c r="E143" s="3" t="s">
        <v>67</v>
      </c>
      <c r="F143" s="3" t="s">
        <v>65</v>
      </c>
      <c r="G143" s="3">
        <v>21.9</v>
      </c>
      <c r="H143" s="3">
        <v>6</v>
      </c>
      <c r="I143" s="4">
        <v>1</v>
      </c>
      <c r="J143" s="3" t="s">
        <v>270</v>
      </c>
      <c r="K143" s="3" t="s">
        <v>16</v>
      </c>
      <c r="L143" s="3" t="s">
        <v>270</v>
      </c>
      <c r="M143" s="3" t="s">
        <v>89</v>
      </c>
      <c r="N143" s="3" t="s">
        <v>409</v>
      </c>
      <c r="O143" s="3" t="s">
        <v>380</v>
      </c>
    </row>
    <row r="144" spans="1:15" x14ac:dyDescent="0.25">
      <c r="A144" s="3" t="s">
        <v>66</v>
      </c>
      <c r="B144" s="3" t="s">
        <v>35</v>
      </c>
      <c r="C144" s="3" t="s">
        <v>36</v>
      </c>
      <c r="D144" s="3" t="s">
        <v>89</v>
      </c>
      <c r="E144" s="3" t="s">
        <v>67</v>
      </c>
      <c r="F144" s="3" t="s">
        <v>65</v>
      </c>
      <c r="G144" s="3">
        <v>20.66</v>
      </c>
      <c r="H144" s="3">
        <v>4</v>
      </c>
      <c r="I144" s="4">
        <v>0</v>
      </c>
      <c r="J144" s="3" t="s">
        <v>270</v>
      </c>
      <c r="K144" s="3" t="s">
        <v>16</v>
      </c>
      <c r="L144" s="3" t="s">
        <v>270</v>
      </c>
      <c r="M144" s="3" t="s">
        <v>89</v>
      </c>
      <c r="N144" s="3" t="s">
        <v>409</v>
      </c>
      <c r="O144" s="3" t="s">
        <v>380</v>
      </c>
    </row>
    <row r="145" spans="1:15" x14ac:dyDescent="0.25">
      <c r="A145" s="3" t="s">
        <v>113</v>
      </c>
      <c r="B145" s="3" t="s">
        <v>35</v>
      </c>
      <c r="C145" s="3" t="s">
        <v>36</v>
      </c>
      <c r="D145" s="3" t="s">
        <v>81</v>
      </c>
      <c r="E145" s="3" t="s">
        <v>115</v>
      </c>
      <c r="F145" s="3" t="s">
        <v>116</v>
      </c>
      <c r="G145" s="3">
        <v>22.7</v>
      </c>
      <c r="H145" s="3">
        <v>16</v>
      </c>
      <c r="I145" s="4">
        <v>1</v>
      </c>
      <c r="J145" s="3" t="s">
        <v>270</v>
      </c>
      <c r="K145" s="3" t="s">
        <v>16</v>
      </c>
      <c r="L145" s="3" t="s">
        <v>270</v>
      </c>
      <c r="M145" s="3" t="s">
        <v>81</v>
      </c>
      <c r="N145" s="3" t="s">
        <v>409</v>
      </c>
      <c r="O145" s="3" t="s">
        <v>381</v>
      </c>
    </row>
    <row r="146" spans="1:15" x14ac:dyDescent="0.25">
      <c r="A146" s="3" t="s">
        <v>113</v>
      </c>
      <c r="B146" s="3" t="s">
        <v>35</v>
      </c>
      <c r="C146" s="3" t="s">
        <v>36</v>
      </c>
      <c r="D146" s="3" t="s">
        <v>81</v>
      </c>
      <c r="E146" s="3" t="s">
        <v>115</v>
      </c>
      <c r="F146" s="3" t="s">
        <v>116</v>
      </c>
      <c r="G146" s="3">
        <v>21.582999999999998</v>
      </c>
      <c r="H146" s="3">
        <v>1</v>
      </c>
      <c r="I146" s="4">
        <v>0</v>
      </c>
      <c r="J146" s="3" t="s">
        <v>270</v>
      </c>
      <c r="K146" s="3" t="s">
        <v>16</v>
      </c>
      <c r="L146" s="3" t="s">
        <v>270</v>
      </c>
      <c r="M146" s="3" t="s">
        <v>81</v>
      </c>
      <c r="N146" s="3" t="s">
        <v>409</v>
      </c>
      <c r="O146" s="3" t="s">
        <v>381</v>
      </c>
    </row>
    <row r="147" spans="1:15" x14ac:dyDescent="0.25">
      <c r="A147" s="3" t="s">
        <v>40</v>
      </c>
      <c r="B147" s="3" t="s">
        <v>35</v>
      </c>
      <c r="C147" s="3" t="s">
        <v>36</v>
      </c>
      <c r="D147" s="3" t="s">
        <v>268</v>
      </c>
      <c r="E147" s="3" t="s">
        <v>41</v>
      </c>
      <c r="F147" s="3" t="s">
        <v>39</v>
      </c>
      <c r="G147" s="3">
        <v>23.5</v>
      </c>
      <c r="H147" s="3">
        <v>17</v>
      </c>
      <c r="I147" s="4">
        <v>1</v>
      </c>
      <c r="J147" s="3" t="s">
        <v>270</v>
      </c>
      <c r="K147" s="3" t="s">
        <v>16</v>
      </c>
      <c r="L147" s="3" t="s">
        <v>270</v>
      </c>
      <c r="M147" s="3" t="s">
        <v>268</v>
      </c>
      <c r="N147" s="3" t="s">
        <v>409</v>
      </c>
      <c r="O147" s="3" t="s">
        <v>382</v>
      </c>
    </row>
    <row r="148" spans="1:15" x14ac:dyDescent="0.25">
      <c r="A148" s="3" t="s">
        <v>40</v>
      </c>
      <c r="B148" s="3" t="s">
        <v>35</v>
      </c>
      <c r="C148" s="3" t="s">
        <v>36</v>
      </c>
      <c r="D148" s="3" t="s">
        <v>268</v>
      </c>
      <c r="E148" s="3" t="s">
        <v>41</v>
      </c>
      <c r="F148" s="3" t="s">
        <v>39</v>
      </c>
      <c r="G148" s="3">
        <v>22.5</v>
      </c>
      <c r="H148" s="3">
        <v>0</v>
      </c>
      <c r="I148" s="4">
        <v>0</v>
      </c>
      <c r="J148" s="3" t="s">
        <v>270</v>
      </c>
      <c r="K148" s="3" t="s">
        <v>16</v>
      </c>
      <c r="L148" s="3" t="s">
        <v>270</v>
      </c>
      <c r="M148" s="3" t="s">
        <v>268</v>
      </c>
      <c r="N148" s="3" t="s">
        <v>409</v>
      </c>
      <c r="O148" s="3" t="s">
        <v>382</v>
      </c>
    </row>
    <row r="149" spans="1:15" x14ac:dyDescent="0.25">
      <c r="A149" s="3" t="s">
        <v>134</v>
      </c>
      <c r="B149" s="3" t="s">
        <v>35</v>
      </c>
      <c r="C149" s="3" t="s">
        <v>36</v>
      </c>
      <c r="D149" s="3" t="s">
        <v>78</v>
      </c>
      <c r="E149" s="3" t="s">
        <v>135</v>
      </c>
      <c r="F149" s="3" t="s">
        <v>108</v>
      </c>
      <c r="G149" s="3">
        <v>23.416</v>
      </c>
      <c r="H149" s="3">
        <v>1</v>
      </c>
      <c r="I149" s="4">
        <v>0</v>
      </c>
      <c r="J149" s="3" t="s">
        <v>270</v>
      </c>
      <c r="K149" s="3" t="s">
        <v>16</v>
      </c>
      <c r="L149" s="3" t="s">
        <v>270</v>
      </c>
      <c r="M149" s="3" t="s">
        <v>78</v>
      </c>
      <c r="N149" s="3" t="s">
        <v>409</v>
      </c>
      <c r="O149" s="3" t="s">
        <v>383</v>
      </c>
    </row>
    <row r="150" spans="1:15" x14ac:dyDescent="0.25">
      <c r="A150" s="3" t="s">
        <v>134</v>
      </c>
      <c r="B150" s="3" t="s">
        <v>35</v>
      </c>
      <c r="C150" s="3" t="s">
        <v>36</v>
      </c>
      <c r="D150" s="3" t="s">
        <v>78</v>
      </c>
      <c r="E150" s="3" t="s">
        <v>135</v>
      </c>
      <c r="F150" s="3" t="s">
        <v>108</v>
      </c>
      <c r="G150" s="3">
        <v>24.25</v>
      </c>
      <c r="H150" s="3">
        <v>23</v>
      </c>
      <c r="I150" s="4">
        <v>1</v>
      </c>
      <c r="J150" s="3" t="s">
        <v>270</v>
      </c>
      <c r="K150" s="3" t="s">
        <v>16</v>
      </c>
      <c r="L150" s="3" t="s">
        <v>270</v>
      </c>
      <c r="M150" s="3" t="s">
        <v>78</v>
      </c>
      <c r="N150" s="3" t="s">
        <v>409</v>
      </c>
      <c r="O150" s="3" t="s">
        <v>383</v>
      </c>
    </row>
    <row r="151" spans="1:15" x14ac:dyDescent="0.25">
      <c r="A151" s="3" t="s">
        <v>46</v>
      </c>
      <c r="B151" s="3" t="s">
        <v>35</v>
      </c>
      <c r="C151" s="3" t="s">
        <v>36</v>
      </c>
      <c r="D151" s="3" t="s">
        <v>37</v>
      </c>
      <c r="E151" s="3" t="s">
        <v>48</v>
      </c>
      <c r="F151" s="3" t="s">
        <v>49</v>
      </c>
      <c r="G151" s="3">
        <v>25</v>
      </c>
      <c r="H151" s="3">
        <v>35</v>
      </c>
      <c r="I151" s="4">
        <v>1</v>
      </c>
      <c r="J151" s="3" t="s">
        <v>270</v>
      </c>
      <c r="K151" s="3" t="s">
        <v>16</v>
      </c>
      <c r="L151" s="3" t="s">
        <v>270</v>
      </c>
      <c r="M151" s="3" t="s">
        <v>37</v>
      </c>
      <c r="N151" s="3" t="s">
        <v>409</v>
      </c>
      <c r="O151" s="3" t="s">
        <v>384</v>
      </c>
    </row>
    <row r="152" spans="1:15" x14ac:dyDescent="0.25">
      <c r="A152" s="3" t="s">
        <v>46</v>
      </c>
      <c r="B152" s="3" t="s">
        <v>35</v>
      </c>
      <c r="C152" s="3" t="s">
        <v>36</v>
      </c>
      <c r="D152" s="3" t="s">
        <v>37</v>
      </c>
      <c r="E152" s="3" t="s">
        <v>48</v>
      </c>
      <c r="F152" s="3" t="s">
        <v>49</v>
      </c>
      <c r="G152" s="3">
        <v>24.33</v>
      </c>
      <c r="H152" s="3">
        <v>4</v>
      </c>
      <c r="I152" s="4">
        <v>0</v>
      </c>
      <c r="J152" s="3" t="s">
        <v>270</v>
      </c>
      <c r="K152" s="3" t="s">
        <v>16</v>
      </c>
      <c r="L152" s="3" t="s">
        <v>270</v>
      </c>
      <c r="M152" s="3" t="s">
        <v>37</v>
      </c>
      <c r="N152" s="3" t="s">
        <v>409</v>
      </c>
      <c r="O152" s="3" t="s">
        <v>384</v>
      </c>
    </row>
    <row r="153" spans="1:15" x14ac:dyDescent="0.25">
      <c r="A153" s="3" t="s">
        <v>165</v>
      </c>
      <c r="B153" s="3" t="s">
        <v>145</v>
      </c>
      <c r="C153" s="3" t="s">
        <v>146</v>
      </c>
      <c r="D153" s="3" t="s">
        <v>72</v>
      </c>
      <c r="E153" s="3" t="s">
        <v>166</v>
      </c>
      <c r="F153" s="3" t="s">
        <v>73</v>
      </c>
      <c r="G153" s="3">
        <v>2.2000000000000002</v>
      </c>
      <c r="H153" s="3">
        <v>1</v>
      </c>
      <c r="I153" s="4">
        <v>1</v>
      </c>
      <c r="J153" s="3" t="s">
        <v>19</v>
      </c>
      <c r="K153" s="3" t="s">
        <v>19</v>
      </c>
      <c r="L153" s="3" t="s">
        <v>19</v>
      </c>
      <c r="M153" s="3" t="s">
        <v>72</v>
      </c>
      <c r="N153" s="3" t="s">
        <v>410</v>
      </c>
      <c r="O153" s="3" t="s">
        <v>386</v>
      </c>
    </row>
    <row r="154" spans="1:15" x14ac:dyDescent="0.25">
      <c r="A154" s="3" t="s">
        <v>165</v>
      </c>
      <c r="B154" s="3" t="s">
        <v>145</v>
      </c>
      <c r="C154" s="3" t="s">
        <v>146</v>
      </c>
      <c r="D154" s="3" t="s">
        <v>72</v>
      </c>
      <c r="E154" s="3" t="s">
        <v>166</v>
      </c>
      <c r="F154" s="3" t="s">
        <v>73</v>
      </c>
      <c r="G154" s="3">
        <v>2.633</v>
      </c>
      <c r="H154" s="3">
        <v>6</v>
      </c>
      <c r="I154" s="4">
        <v>0</v>
      </c>
      <c r="J154" s="3" t="s">
        <v>19</v>
      </c>
      <c r="K154" s="3" t="s">
        <v>19</v>
      </c>
      <c r="L154" s="3" t="s">
        <v>19</v>
      </c>
      <c r="M154" s="3" t="s">
        <v>72</v>
      </c>
      <c r="N154" s="3" t="s">
        <v>410</v>
      </c>
      <c r="O154" s="3" t="s">
        <v>386</v>
      </c>
    </row>
    <row r="155" spans="1:15" x14ac:dyDescent="0.25">
      <c r="A155" s="3" t="s">
        <v>25</v>
      </c>
      <c r="B155" s="3" t="s">
        <v>145</v>
      </c>
      <c r="C155" s="3" t="s">
        <v>146</v>
      </c>
      <c r="D155" s="3" t="s">
        <v>98</v>
      </c>
      <c r="E155" s="3" t="s">
        <v>147</v>
      </c>
      <c r="F155" s="3" t="s">
        <v>61</v>
      </c>
      <c r="G155" s="3">
        <v>2.5299999999999998</v>
      </c>
      <c r="H155" s="3">
        <v>3</v>
      </c>
      <c r="I155" s="4">
        <v>1</v>
      </c>
      <c r="J155" s="3" t="s">
        <v>19</v>
      </c>
      <c r="K155" s="3" t="s">
        <v>19</v>
      </c>
      <c r="L155" s="3" t="s">
        <v>19</v>
      </c>
      <c r="M155" s="3" t="s">
        <v>98</v>
      </c>
      <c r="N155" s="3" t="s">
        <v>410</v>
      </c>
      <c r="O155" s="3" t="s">
        <v>387</v>
      </c>
    </row>
    <row r="156" spans="1:15" x14ac:dyDescent="0.25">
      <c r="A156" s="3" t="s">
        <v>25</v>
      </c>
      <c r="B156" s="3" t="s">
        <v>145</v>
      </c>
      <c r="C156" s="3" t="s">
        <v>146</v>
      </c>
      <c r="D156" s="3" t="s">
        <v>98</v>
      </c>
      <c r="E156" s="3" t="s">
        <v>147</v>
      </c>
      <c r="F156" s="3" t="s">
        <v>61</v>
      </c>
      <c r="G156" s="3">
        <v>2.7687499999999998</v>
      </c>
      <c r="H156" s="3">
        <v>5</v>
      </c>
      <c r="I156" s="4">
        <v>0</v>
      </c>
      <c r="J156" s="3" t="s">
        <v>19</v>
      </c>
      <c r="K156" s="3" t="s">
        <v>19</v>
      </c>
      <c r="L156" s="3" t="s">
        <v>19</v>
      </c>
      <c r="M156" s="3" t="s">
        <v>98</v>
      </c>
      <c r="N156" s="3" t="s">
        <v>410</v>
      </c>
      <c r="O156" s="3" t="s">
        <v>387</v>
      </c>
    </row>
    <row r="157" spans="1:15" x14ac:dyDescent="0.25">
      <c r="A157" s="3" t="s">
        <v>131</v>
      </c>
      <c r="B157" s="3" t="s">
        <v>35</v>
      </c>
      <c r="C157" s="3" t="s">
        <v>36</v>
      </c>
      <c r="D157" s="3" t="s">
        <v>60</v>
      </c>
      <c r="E157" s="3" t="s">
        <v>261</v>
      </c>
      <c r="F157" s="3" t="s">
        <v>61</v>
      </c>
      <c r="G157" s="3">
        <v>25.535699999999999</v>
      </c>
      <c r="H157" s="3">
        <v>5</v>
      </c>
      <c r="I157" s="4">
        <v>0</v>
      </c>
      <c r="J157" s="3" t="s">
        <v>19</v>
      </c>
      <c r="K157" s="3" t="s">
        <v>19</v>
      </c>
      <c r="L157" s="3" t="s">
        <v>19</v>
      </c>
      <c r="M157" s="3" t="s">
        <v>60</v>
      </c>
      <c r="N157" s="3">
        <v>6</v>
      </c>
      <c r="O157" s="3" t="s">
        <v>389</v>
      </c>
    </row>
    <row r="158" spans="1:15" x14ac:dyDescent="0.25">
      <c r="A158" s="3" t="s">
        <v>131</v>
      </c>
      <c r="B158" s="3" t="s">
        <v>35</v>
      </c>
      <c r="C158" s="3" t="s">
        <v>36</v>
      </c>
      <c r="D158" s="3" t="s">
        <v>60</v>
      </c>
      <c r="E158" s="3" t="s">
        <v>261</v>
      </c>
      <c r="F158" s="3" t="s">
        <v>61</v>
      </c>
      <c r="G158" s="3">
        <v>25.75</v>
      </c>
      <c r="H158" s="3">
        <v>9</v>
      </c>
      <c r="I158" s="4">
        <v>1</v>
      </c>
      <c r="J158" s="3" t="s">
        <v>19</v>
      </c>
      <c r="K158" s="3" t="s">
        <v>19</v>
      </c>
      <c r="L158" s="3" t="s">
        <v>19</v>
      </c>
      <c r="M158" s="3" t="s">
        <v>60</v>
      </c>
      <c r="N158" s="3">
        <v>6</v>
      </c>
      <c r="O158" s="3" t="s">
        <v>389</v>
      </c>
    </row>
    <row r="159" spans="1:15" x14ac:dyDescent="0.25">
      <c r="A159" s="3" t="s">
        <v>26</v>
      </c>
      <c r="B159" s="3" t="s">
        <v>35</v>
      </c>
      <c r="C159" s="3" t="s">
        <v>36</v>
      </c>
      <c r="D159" s="3" t="s">
        <v>114</v>
      </c>
      <c r="E159" s="3" t="s">
        <v>88</v>
      </c>
      <c r="F159" s="3" t="s">
        <v>87</v>
      </c>
      <c r="G159" s="3">
        <v>26.321000000000002</v>
      </c>
      <c r="H159" s="3">
        <v>2</v>
      </c>
      <c r="I159" s="4">
        <v>0</v>
      </c>
      <c r="J159" s="3" t="s">
        <v>19</v>
      </c>
      <c r="K159" s="3" t="s">
        <v>19</v>
      </c>
      <c r="L159" s="3" t="s">
        <v>19</v>
      </c>
      <c r="M159" s="3" t="s">
        <v>114</v>
      </c>
      <c r="N159" s="3" t="s">
        <v>410</v>
      </c>
      <c r="O159" s="3" t="s">
        <v>388</v>
      </c>
    </row>
    <row r="160" spans="1:15" x14ac:dyDescent="0.25">
      <c r="A160" s="3" t="s">
        <v>26</v>
      </c>
      <c r="B160" s="3" t="s">
        <v>35</v>
      </c>
      <c r="C160" s="3" t="s">
        <v>36</v>
      </c>
      <c r="D160" s="3" t="s">
        <v>114</v>
      </c>
      <c r="E160" s="3" t="s">
        <v>88</v>
      </c>
      <c r="F160" s="3" t="s">
        <v>87</v>
      </c>
      <c r="G160" s="3">
        <v>26.52</v>
      </c>
      <c r="H160" s="3">
        <v>10</v>
      </c>
      <c r="I160" s="4">
        <v>1</v>
      </c>
      <c r="J160" s="3" t="s">
        <v>19</v>
      </c>
      <c r="K160" s="3" t="s">
        <v>19</v>
      </c>
      <c r="L160" s="3" t="s">
        <v>19</v>
      </c>
      <c r="M160" s="3" t="s">
        <v>114</v>
      </c>
      <c r="N160" s="3" t="s">
        <v>410</v>
      </c>
      <c r="O160" s="3" t="s">
        <v>388</v>
      </c>
    </row>
    <row r="161" spans="1:15" x14ac:dyDescent="0.25">
      <c r="A161" s="3" t="s">
        <v>93</v>
      </c>
      <c r="B161" s="3" t="s">
        <v>35</v>
      </c>
      <c r="C161" s="3" t="s">
        <v>36</v>
      </c>
      <c r="D161" s="3" t="s">
        <v>43</v>
      </c>
      <c r="E161" s="3" t="s">
        <v>94</v>
      </c>
      <c r="F161" s="3" t="s">
        <v>65</v>
      </c>
      <c r="G161" s="3">
        <v>27.106999999999999</v>
      </c>
      <c r="H161" s="3">
        <v>1</v>
      </c>
      <c r="I161" s="4">
        <v>0</v>
      </c>
      <c r="J161" s="3" t="s">
        <v>19</v>
      </c>
      <c r="K161" s="3" t="s">
        <v>19</v>
      </c>
      <c r="L161" s="3" t="s">
        <v>19</v>
      </c>
      <c r="M161" s="3" t="s">
        <v>43</v>
      </c>
      <c r="N161" s="3" t="s">
        <v>410</v>
      </c>
      <c r="O161" s="3" t="s">
        <v>390</v>
      </c>
    </row>
    <row r="162" spans="1:15" x14ac:dyDescent="0.25">
      <c r="A162" s="3" t="s">
        <v>93</v>
      </c>
      <c r="B162" s="3" t="s">
        <v>35</v>
      </c>
      <c r="C162" s="3" t="s">
        <v>36</v>
      </c>
      <c r="D162" s="3" t="s">
        <v>43</v>
      </c>
      <c r="E162" s="3" t="s">
        <v>94</v>
      </c>
      <c r="F162" s="3" t="s">
        <v>65</v>
      </c>
      <c r="G162" s="3">
        <v>27.32</v>
      </c>
      <c r="H162" s="3">
        <v>12</v>
      </c>
      <c r="I162" s="4">
        <v>1</v>
      </c>
      <c r="J162" s="3" t="s">
        <v>19</v>
      </c>
      <c r="K162" s="3" t="s">
        <v>19</v>
      </c>
      <c r="L162" s="3" t="s">
        <v>19</v>
      </c>
      <c r="M162" s="3" t="s">
        <v>43</v>
      </c>
      <c r="N162" s="3" t="s">
        <v>410</v>
      </c>
      <c r="O162" s="3" t="s">
        <v>390</v>
      </c>
    </row>
    <row r="163" spans="1:15" x14ac:dyDescent="0.25">
      <c r="A163" s="3" t="s">
        <v>62</v>
      </c>
      <c r="B163" s="3" t="s">
        <v>35</v>
      </c>
      <c r="C163" s="3" t="s">
        <v>36</v>
      </c>
      <c r="D163" s="3" t="s">
        <v>78</v>
      </c>
      <c r="E163" s="3" t="s">
        <v>64</v>
      </c>
      <c r="F163" s="3" t="s">
        <v>65</v>
      </c>
      <c r="G163" s="3">
        <v>27.891999999999999</v>
      </c>
      <c r="H163" s="3">
        <v>1</v>
      </c>
      <c r="I163" s="4">
        <v>0</v>
      </c>
      <c r="J163" s="3" t="s">
        <v>19</v>
      </c>
      <c r="K163" s="3" t="s">
        <v>19</v>
      </c>
      <c r="L163" s="3" t="s">
        <v>19</v>
      </c>
      <c r="M163" s="3" t="s">
        <v>78</v>
      </c>
      <c r="N163" s="3" t="s">
        <v>410</v>
      </c>
      <c r="O163" s="3" t="s">
        <v>391</v>
      </c>
    </row>
    <row r="164" spans="1:15" x14ac:dyDescent="0.25">
      <c r="A164" s="3" t="s">
        <v>62</v>
      </c>
      <c r="B164" s="3" t="s">
        <v>35</v>
      </c>
      <c r="C164" s="3" t="s">
        <v>36</v>
      </c>
      <c r="D164" s="3" t="s">
        <v>78</v>
      </c>
      <c r="E164" s="3" t="s">
        <v>64</v>
      </c>
      <c r="F164" s="3" t="s">
        <v>65</v>
      </c>
      <c r="G164" s="3">
        <v>28.1</v>
      </c>
      <c r="H164" s="3">
        <v>13</v>
      </c>
      <c r="I164" s="4">
        <v>1</v>
      </c>
      <c r="J164" s="3" t="s">
        <v>19</v>
      </c>
      <c r="K164" s="3" t="s">
        <v>19</v>
      </c>
      <c r="L164" s="3" t="s">
        <v>19</v>
      </c>
      <c r="M164" s="3" t="s">
        <v>78</v>
      </c>
      <c r="N164" s="3" t="s">
        <v>410</v>
      </c>
      <c r="O164" s="3" t="s">
        <v>391</v>
      </c>
    </row>
    <row r="165" spans="1:15" x14ac:dyDescent="0.25">
      <c r="A165" s="3" t="s">
        <v>42</v>
      </c>
      <c r="B165" s="3" t="s">
        <v>35</v>
      </c>
      <c r="C165" s="3" t="s">
        <v>36</v>
      </c>
      <c r="D165" s="3" t="s">
        <v>81</v>
      </c>
      <c r="E165" s="3" t="s">
        <v>44</v>
      </c>
      <c r="F165" s="3" t="s">
        <v>45</v>
      </c>
      <c r="G165" s="3">
        <v>28.678000000000001</v>
      </c>
      <c r="H165" s="3">
        <v>5</v>
      </c>
      <c r="I165" s="4">
        <v>0</v>
      </c>
      <c r="J165" s="3" t="s">
        <v>19</v>
      </c>
      <c r="K165" s="3" t="s">
        <v>19</v>
      </c>
      <c r="L165" s="3" t="s">
        <v>19</v>
      </c>
      <c r="M165" s="3" t="s">
        <v>81</v>
      </c>
      <c r="N165" s="3" t="s">
        <v>410</v>
      </c>
      <c r="O165" s="3" t="s">
        <v>392</v>
      </c>
    </row>
    <row r="166" spans="1:15" x14ac:dyDescent="0.25">
      <c r="A166" s="3" t="s">
        <v>42</v>
      </c>
      <c r="B166" s="3" t="s">
        <v>35</v>
      </c>
      <c r="C166" s="3" t="s">
        <v>36</v>
      </c>
      <c r="D166" s="3" t="s">
        <v>81</v>
      </c>
      <c r="E166" s="3" t="s">
        <v>44</v>
      </c>
      <c r="F166" s="3" t="s">
        <v>45</v>
      </c>
      <c r="G166" s="3">
        <v>28.85</v>
      </c>
      <c r="H166" s="3">
        <v>14</v>
      </c>
      <c r="I166" s="4">
        <v>1</v>
      </c>
      <c r="J166" s="3" t="s">
        <v>19</v>
      </c>
      <c r="K166" s="3" t="s">
        <v>19</v>
      </c>
      <c r="L166" s="3" t="s">
        <v>19</v>
      </c>
      <c r="M166" s="3" t="s">
        <v>81</v>
      </c>
      <c r="N166" s="3" t="s">
        <v>410</v>
      </c>
      <c r="O166" s="3" t="s">
        <v>392</v>
      </c>
    </row>
    <row r="167" spans="1:15" x14ac:dyDescent="0.25">
      <c r="A167" s="3" t="s">
        <v>56</v>
      </c>
      <c r="B167" s="3" t="s">
        <v>35</v>
      </c>
      <c r="C167" s="3" t="s">
        <v>36</v>
      </c>
      <c r="D167" s="3" t="s">
        <v>63</v>
      </c>
      <c r="E167" s="3" t="s">
        <v>57</v>
      </c>
      <c r="F167" s="3" t="s">
        <v>55</v>
      </c>
      <c r="G167" s="3">
        <v>29.463999999999999</v>
      </c>
      <c r="H167" s="3">
        <v>4</v>
      </c>
      <c r="I167" s="4">
        <v>0</v>
      </c>
      <c r="J167" s="3" t="s">
        <v>19</v>
      </c>
      <c r="K167" s="3" t="s">
        <v>19</v>
      </c>
      <c r="L167" s="3" t="s">
        <v>19</v>
      </c>
      <c r="M167" s="3" t="s">
        <v>63</v>
      </c>
      <c r="N167" s="3" t="s">
        <v>410</v>
      </c>
      <c r="O167" s="3" t="s">
        <v>393</v>
      </c>
    </row>
    <row r="168" spans="1:15" x14ac:dyDescent="0.25">
      <c r="A168" s="3" t="s">
        <v>56</v>
      </c>
      <c r="B168" s="3" t="s">
        <v>35</v>
      </c>
      <c r="C168" s="3" t="s">
        <v>36</v>
      </c>
      <c r="D168" s="3" t="s">
        <v>63</v>
      </c>
      <c r="E168" s="3" t="s">
        <v>57</v>
      </c>
      <c r="F168" s="3" t="s">
        <v>55</v>
      </c>
      <c r="G168" s="3">
        <v>29.65</v>
      </c>
      <c r="H168" s="3">
        <v>21</v>
      </c>
      <c r="I168" s="4">
        <v>1</v>
      </c>
      <c r="J168" s="3" t="s">
        <v>19</v>
      </c>
      <c r="K168" s="3" t="s">
        <v>19</v>
      </c>
      <c r="L168" s="3" t="s">
        <v>19</v>
      </c>
      <c r="M168" s="3" t="s">
        <v>63</v>
      </c>
      <c r="N168" s="3" t="s">
        <v>410</v>
      </c>
      <c r="O168" s="3" t="s">
        <v>393</v>
      </c>
    </row>
    <row r="169" spans="1:15" x14ac:dyDescent="0.25">
      <c r="A169" s="3" t="s">
        <v>157</v>
      </c>
      <c r="B169" s="3" t="s">
        <v>145</v>
      </c>
      <c r="C169" s="3" t="s">
        <v>146</v>
      </c>
      <c r="D169" s="3" t="s">
        <v>119</v>
      </c>
      <c r="E169" s="3" t="s">
        <v>158</v>
      </c>
      <c r="F169" s="3" t="s">
        <v>79</v>
      </c>
      <c r="G169" s="3">
        <v>2.84</v>
      </c>
      <c r="H169" s="3">
        <v>9</v>
      </c>
      <c r="I169" s="4">
        <v>1</v>
      </c>
      <c r="J169" s="3" t="s">
        <v>19</v>
      </c>
      <c r="K169" s="3" t="s">
        <v>19</v>
      </c>
      <c r="L169" s="3" t="s">
        <v>19</v>
      </c>
      <c r="M169" s="3" t="s">
        <v>119</v>
      </c>
      <c r="N169" s="3" t="s">
        <v>410</v>
      </c>
      <c r="O169" s="3" t="s">
        <v>394</v>
      </c>
    </row>
    <row r="170" spans="1:15" x14ac:dyDescent="0.25">
      <c r="A170" s="3" t="s">
        <v>157</v>
      </c>
      <c r="B170" s="3" t="s">
        <v>145</v>
      </c>
      <c r="C170" s="3" t="s">
        <v>146</v>
      </c>
      <c r="D170" s="3" t="s">
        <v>119</v>
      </c>
      <c r="E170" s="3" t="s">
        <v>158</v>
      </c>
      <c r="F170" s="3" t="s">
        <v>79</v>
      </c>
      <c r="G170" s="3">
        <v>2.9043749999999999</v>
      </c>
      <c r="H170" s="3">
        <v>2</v>
      </c>
      <c r="I170" s="4">
        <v>0</v>
      </c>
      <c r="J170" s="3" t="s">
        <v>19</v>
      </c>
      <c r="K170" s="3" t="s">
        <v>19</v>
      </c>
      <c r="L170" s="3" t="s">
        <v>19</v>
      </c>
      <c r="M170" s="3" t="s">
        <v>119</v>
      </c>
      <c r="N170" s="3" t="s">
        <v>410</v>
      </c>
      <c r="O170" s="3" t="s">
        <v>394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05AD-010D-463A-B2AF-6759C7B96836}">
  <dimension ref="A1:K626"/>
  <sheetViews>
    <sheetView topLeftCell="A25" workbookViewId="0">
      <selection activeCell="E2" sqref="E2"/>
    </sheetView>
  </sheetViews>
  <sheetFormatPr defaultRowHeight="15" x14ac:dyDescent="0.25"/>
  <sheetData>
    <row r="1" spans="1:11" x14ac:dyDescent="0.25">
      <c r="A1" t="s">
        <v>278</v>
      </c>
      <c r="B1" t="s">
        <v>30</v>
      </c>
      <c r="C1" t="s">
        <v>33</v>
      </c>
      <c r="D1" t="s">
        <v>279</v>
      </c>
      <c r="E1" t="s">
        <v>27</v>
      </c>
      <c r="F1" t="s">
        <v>31</v>
      </c>
      <c r="G1" t="s">
        <v>280</v>
      </c>
      <c r="H1" t="s">
        <v>281</v>
      </c>
      <c r="I1" t="s">
        <v>282</v>
      </c>
      <c r="J1" t="s">
        <v>283</v>
      </c>
      <c r="K1" t="s">
        <v>284</v>
      </c>
    </row>
    <row r="2" spans="1:11" x14ac:dyDescent="0.25">
      <c r="A2">
        <v>386</v>
      </c>
      <c r="B2" t="s">
        <v>125</v>
      </c>
      <c r="C2" t="s">
        <v>126</v>
      </c>
      <c r="D2" t="s">
        <v>285</v>
      </c>
      <c r="E2" t="s">
        <v>226</v>
      </c>
      <c r="F2" t="s">
        <v>227</v>
      </c>
      <c r="G2">
        <v>3</v>
      </c>
      <c r="H2">
        <v>0.72499999999999998</v>
      </c>
      <c r="I2">
        <v>1</v>
      </c>
      <c r="J2" t="s">
        <v>286</v>
      </c>
      <c r="K2" t="s">
        <v>163</v>
      </c>
    </row>
    <row r="3" spans="1:11" x14ac:dyDescent="0.25">
      <c r="A3">
        <v>237</v>
      </c>
      <c r="B3" t="s">
        <v>107</v>
      </c>
      <c r="C3" t="s">
        <v>108</v>
      </c>
      <c r="D3" t="s">
        <v>287</v>
      </c>
      <c r="E3" t="s">
        <v>237</v>
      </c>
      <c r="F3" t="s">
        <v>238</v>
      </c>
      <c r="G3">
        <v>3</v>
      </c>
      <c r="H3">
        <v>1.55</v>
      </c>
      <c r="I3">
        <v>1</v>
      </c>
      <c r="J3" t="s">
        <v>286</v>
      </c>
      <c r="K3" t="s">
        <v>153</v>
      </c>
    </row>
    <row r="4" spans="1:11" x14ac:dyDescent="0.25">
      <c r="A4">
        <v>486</v>
      </c>
      <c r="B4" t="s">
        <v>114</v>
      </c>
      <c r="C4" t="s">
        <v>116</v>
      </c>
      <c r="D4" t="s">
        <v>288</v>
      </c>
      <c r="E4" t="s">
        <v>117</v>
      </c>
      <c r="F4" t="s">
        <v>118</v>
      </c>
      <c r="G4">
        <v>3</v>
      </c>
      <c r="H4">
        <v>1</v>
      </c>
      <c r="I4">
        <v>1</v>
      </c>
      <c r="J4" t="s">
        <v>286</v>
      </c>
      <c r="K4" t="s">
        <v>36</v>
      </c>
    </row>
    <row r="5" spans="1:11" x14ac:dyDescent="0.25">
      <c r="A5">
        <v>3</v>
      </c>
      <c r="B5" t="s">
        <v>119</v>
      </c>
      <c r="C5" t="s">
        <v>120</v>
      </c>
      <c r="D5" t="s">
        <v>289</v>
      </c>
      <c r="E5" t="s">
        <v>239</v>
      </c>
      <c r="F5" t="s">
        <v>240</v>
      </c>
      <c r="G5">
        <v>2</v>
      </c>
      <c r="H5">
        <v>1.55</v>
      </c>
      <c r="I5">
        <v>1</v>
      </c>
      <c r="J5" t="s">
        <v>286</v>
      </c>
      <c r="K5" t="s">
        <v>146</v>
      </c>
    </row>
    <row r="6" spans="1:11" x14ac:dyDescent="0.25">
      <c r="A6">
        <v>45</v>
      </c>
      <c r="B6" t="s">
        <v>266</v>
      </c>
      <c r="C6" t="s">
        <v>267</v>
      </c>
      <c r="D6" t="s">
        <v>289</v>
      </c>
      <c r="E6" t="s">
        <v>239</v>
      </c>
      <c r="F6" t="s">
        <v>240</v>
      </c>
      <c r="G6">
        <v>1</v>
      </c>
      <c r="H6">
        <v>1.55</v>
      </c>
      <c r="I6">
        <v>1</v>
      </c>
      <c r="J6" t="s">
        <v>286</v>
      </c>
      <c r="K6" t="s">
        <v>146</v>
      </c>
    </row>
    <row r="7" spans="1:11" x14ac:dyDescent="0.25">
      <c r="A7">
        <v>256</v>
      </c>
      <c r="B7" t="s">
        <v>98</v>
      </c>
      <c r="C7" t="s">
        <v>100</v>
      </c>
      <c r="D7" t="s">
        <v>289</v>
      </c>
      <c r="E7" t="s">
        <v>239</v>
      </c>
      <c r="F7" t="s">
        <v>240</v>
      </c>
      <c r="G7">
        <v>3</v>
      </c>
      <c r="H7">
        <v>1.55</v>
      </c>
      <c r="I7">
        <v>1</v>
      </c>
      <c r="J7" t="s">
        <v>286</v>
      </c>
      <c r="K7" t="s">
        <v>146</v>
      </c>
    </row>
    <row r="8" spans="1:11" x14ac:dyDescent="0.25">
      <c r="A8">
        <v>199</v>
      </c>
      <c r="B8" t="s">
        <v>72</v>
      </c>
      <c r="C8" t="s">
        <v>73</v>
      </c>
      <c r="D8" t="s">
        <v>290</v>
      </c>
      <c r="E8" t="s">
        <v>251</v>
      </c>
      <c r="F8" t="s">
        <v>252</v>
      </c>
      <c r="G8">
        <v>3</v>
      </c>
      <c r="H8">
        <v>1.55</v>
      </c>
      <c r="I8">
        <v>1</v>
      </c>
      <c r="J8" t="s">
        <v>286</v>
      </c>
      <c r="K8" t="s">
        <v>171</v>
      </c>
    </row>
    <row r="9" spans="1:11" x14ac:dyDescent="0.25">
      <c r="A9">
        <v>280</v>
      </c>
      <c r="B9" t="s">
        <v>291</v>
      </c>
      <c r="C9" t="s">
        <v>292</v>
      </c>
      <c r="D9" t="s">
        <v>290</v>
      </c>
      <c r="E9" t="s">
        <v>251</v>
      </c>
      <c r="F9" t="s">
        <v>252</v>
      </c>
      <c r="G9">
        <v>3</v>
      </c>
      <c r="H9">
        <v>1.55</v>
      </c>
      <c r="I9">
        <v>1</v>
      </c>
      <c r="J9" t="s">
        <v>286</v>
      </c>
      <c r="K9" t="s">
        <v>171</v>
      </c>
    </row>
    <row r="10" spans="1:11" x14ac:dyDescent="0.25">
      <c r="A10">
        <v>324</v>
      </c>
      <c r="B10" t="s">
        <v>293</v>
      </c>
      <c r="C10" t="s">
        <v>294</v>
      </c>
      <c r="D10" t="s">
        <v>290</v>
      </c>
      <c r="E10" t="s">
        <v>251</v>
      </c>
      <c r="F10" t="s">
        <v>252</v>
      </c>
      <c r="G10">
        <v>3</v>
      </c>
      <c r="H10">
        <v>1.55</v>
      </c>
      <c r="I10">
        <v>1</v>
      </c>
      <c r="J10" t="s">
        <v>286</v>
      </c>
      <c r="K10" t="s">
        <v>171</v>
      </c>
    </row>
    <row r="11" spans="1:11" x14ac:dyDescent="0.25">
      <c r="A11">
        <v>373</v>
      </c>
      <c r="B11" t="s">
        <v>295</v>
      </c>
      <c r="C11" t="s">
        <v>296</v>
      </c>
      <c r="D11" t="s">
        <v>290</v>
      </c>
      <c r="E11" t="s">
        <v>251</v>
      </c>
      <c r="F11" t="s">
        <v>252</v>
      </c>
      <c r="G11">
        <v>6</v>
      </c>
      <c r="H11">
        <v>1.55</v>
      </c>
      <c r="I11">
        <v>4</v>
      </c>
      <c r="J11" t="s">
        <v>297</v>
      </c>
      <c r="K11" t="s">
        <v>171</v>
      </c>
    </row>
    <row r="12" spans="1:11" x14ac:dyDescent="0.25">
      <c r="A12">
        <v>421</v>
      </c>
      <c r="B12" t="s">
        <v>298</v>
      </c>
      <c r="C12" t="s">
        <v>299</v>
      </c>
      <c r="D12" t="s">
        <v>290</v>
      </c>
      <c r="E12" t="s">
        <v>251</v>
      </c>
      <c r="F12" t="s">
        <v>252</v>
      </c>
      <c r="G12">
        <v>3</v>
      </c>
      <c r="H12">
        <v>1.55</v>
      </c>
      <c r="I12">
        <v>1</v>
      </c>
      <c r="J12" t="s">
        <v>286</v>
      </c>
      <c r="K12" t="s">
        <v>171</v>
      </c>
    </row>
    <row r="13" spans="1:11" x14ac:dyDescent="0.25">
      <c r="A13">
        <v>468</v>
      </c>
      <c r="B13" t="s">
        <v>300</v>
      </c>
      <c r="C13" t="s">
        <v>301</v>
      </c>
      <c r="D13" t="s">
        <v>290</v>
      </c>
      <c r="E13" t="s">
        <v>251</v>
      </c>
      <c r="F13" t="s">
        <v>252</v>
      </c>
      <c r="G13">
        <v>3</v>
      </c>
      <c r="H13">
        <v>1.55</v>
      </c>
      <c r="I13">
        <v>1</v>
      </c>
      <c r="J13" t="s">
        <v>286</v>
      </c>
      <c r="K13" t="s">
        <v>171</v>
      </c>
    </row>
    <row r="14" spans="1:11" x14ac:dyDescent="0.25">
      <c r="A14">
        <v>517</v>
      </c>
      <c r="B14" t="s">
        <v>302</v>
      </c>
      <c r="C14" t="s">
        <v>303</v>
      </c>
      <c r="D14" t="s">
        <v>290</v>
      </c>
      <c r="E14" t="s">
        <v>251</v>
      </c>
      <c r="F14" t="s">
        <v>252</v>
      </c>
      <c r="G14">
        <v>5</v>
      </c>
      <c r="H14">
        <v>1.55</v>
      </c>
      <c r="I14">
        <v>3</v>
      </c>
      <c r="J14" t="s">
        <v>304</v>
      </c>
      <c r="K14" t="s">
        <v>171</v>
      </c>
    </row>
    <row r="15" spans="1:11" x14ac:dyDescent="0.25">
      <c r="A15">
        <v>574</v>
      </c>
      <c r="B15" t="s">
        <v>305</v>
      </c>
      <c r="C15" t="s">
        <v>306</v>
      </c>
      <c r="D15" t="s">
        <v>290</v>
      </c>
      <c r="E15" t="s">
        <v>251</v>
      </c>
      <c r="F15" t="s">
        <v>252</v>
      </c>
      <c r="G15">
        <v>4</v>
      </c>
      <c r="H15">
        <v>1.55</v>
      </c>
      <c r="I15">
        <v>2</v>
      </c>
      <c r="J15" t="s">
        <v>307</v>
      </c>
      <c r="K15" t="s">
        <v>171</v>
      </c>
    </row>
    <row r="16" spans="1:11" x14ac:dyDescent="0.25">
      <c r="A16">
        <v>599</v>
      </c>
      <c r="B16" t="s">
        <v>85</v>
      </c>
      <c r="C16" t="s">
        <v>87</v>
      </c>
      <c r="D16" t="s">
        <v>290</v>
      </c>
      <c r="E16" t="s">
        <v>251</v>
      </c>
      <c r="F16" t="s">
        <v>252</v>
      </c>
      <c r="G16">
        <v>3</v>
      </c>
      <c r="H16">
        <v>1.55</v>
      </c>
      <c r="I16">
        <v>1</v>
      </c>
      <c r="J16" t="s">
        <v>286</v>
      </c>
      <c r="K16" t="s">
        <v>171</v>
      </c>
    </row>
    <row r="17" spans="1:11" x14ac:dyDescent="0.25">
      <c r="A17">
        <v>243</v>
      </c>
      <c r="B17" t="s">
        <v>308</v>
      </c>
      <c r="C17" t="s">
        <v>309</v>
      </c>
      <c r="D17" t="s">
        <v>310</v>
      </c>
      <c r="E17" t="s">
        <v>255</v>
      </c>
      <c r="F17" t="s">
        <v>256</v>
      </c>
      <c r="G17">
        <v>4</v>
      </c>
      <c r="H17">
        <v>2.35</v>
      </c>
      <c r="I17">
        <v>3</v>
      </c>
      <c r="J17" t="s">
        <v>304</v>
      </c>
      <c r="K17" t="s">
        <v>153</v>
      </c>
    </row>
    <row r="18" spans="1:11" x14ac:dyDescent="0.25">
      <c r="A18">
        <v>281</v>
      </c>
      <c r="B18" t="s">
        <v>291</v>
      </c>
      <c r="C18" t="s">
        <v>292</v>
      </c>
      <c r="D18" t="s">
        <v>310</v>
      </c>
      <c r="E18" t="s">
        <v>255</v>
      </c>
      <c r="F18" t="s">
        <v>256</v>
      </c>
      <c r="G18">
        <v>6</v>
      </c>
      <c r="H18">
        <v>2.35</v>
      </c>
      <c r="I18">
        <v>4</v>
      </c>
      <c r="J18" t="s">
        <v>297</v>
      </c>
      <c r="K18" t="s">
        <v>153</v>
      </c>
    </row>
    <row r="19" spans="1:11" x14ac:dyDescent="0.25">
      <c r="A19">
        <v>325</v>
      </c>
      <c r="B19" t="s">
        <v>293</v>
      </c>
      <c r="C19" t="s">
        <v>294</v>
      </c>
      <c r="D19" t="s">
        <v>310</v>
      </c>
      <c r="E19" t="s">
        <v>255</v>
      </c>
      <c r="F19" t="s">
        <v>256</v>
      </c>
      <c r="G19">
        <v>6</v>
      </c>
      <c r="H19">
        <v>2.35</v>
      </c>
      <c r="I19">
        <v>5</v>
      </c>
      <c r="J19" t="s">
        <v>311</v>
      </c>
      <c r="K19" t="s">
        <v>153</v>
      </c>
    </row>
    <row r="20" spans="1:11" x14ac:dyDescent="0.25">
      <c r="A20">
        <v>342</v>
      </c>
      <c r="B20" t="s">
        <v>109</v>
      </c>
      <c r="C20" t="s">
        <v>110</v>
      </c>
      <c r="D20" t="s">
        <v>310</v>
      </c>
      <c r="E20" t="s">
        <v>255</v>
      </c>
      <c r="F20" t="s">
        <v>256</v>
      </c>
      <c r="G20">
        <v>3</v>
      </c>
      <c r="H20">
        <v>2.35</v>
      </c>
      <c r="I20">
        <v>1</v>
      </c>
      <c r="J20" t="s">
        <v>286</v>
      </c>
      <c r="K20" t="s">
        <v>153</v>
      </c>
    </row>
    <row r="21" spans="1:11" x14ac:dyDescent="0.25">
      <c r="A21">
        <v>374</v>
      </c>
      <c r="B21" t="s">
        <v>295</v>
      </c>
      <c r="C21" t="s">
        <v>296</v>
      </c>
      <c r="D21" t="s">
        <v>310</v>
      </c>
      <c r="E21" t="s">
        <v>255</v>
      </c>
      <c r="F21" t="s">
        <v>256</v>
      </c>
      <c r="G21">
        <v>4</v>
      </c>
      <c r="H21">
        <v>2.35</v>
      </c>
      <c r="I21">
        <v>3</v>
      </c>
      <c r="J21" t="s">
        <v>304</v>
      </c>
      <c r="K21" t="s">
        <v>153</v>
      </c>
    </row>
    <row r="22" spans="1:11" x14ac:dyDescent="0.25">
      <c r="A22">
        <v>422</v>
      </c>
      <c r="B22" t="s">
        <v>298</v>
      </c>
      <c r="C22" t="s">
        <v>299</v>
      </c>
      <c r="D22" t="s">
        <v>310</v>
      </c>
      <c r="E22" t="s">
        <v>255</v>
      </c>
      <c r="F22" t="s">
        <v>256</v>
      </c>
      <c r="G22">
        <v>4</v>
      </c>
      <c r="H22">
        <v>2.35</v>
      </c>
      <c r="I22">
        <v>3</v>
      </c>
      <c r="J22" t="s">
        <v>304</v>
      </c>
      <c r="K22" t="s">
        <v>153</v>
      </c>
    </row>
    <row r="23" spans="1:11" x14ac:dyDescent="0.25">
      <c r="A23">
        <v>518</v>
      </c>
      <c r="B23" t="s">
        <v>302</v>
      </c>
      <c r="C23" t="s">
        <v>303</v>
      </c>
      <c r="D23" t="s">
        <v>310</v>
      </c>
      <c r="E23" t="s">
        <v>255</v>
      </c>
      <c r="F23" t="s">
        <v>256</v>
      </c>
      <c r="G23">
        <v>5</v>
      </c>
      <c r="H23">
        <v>2.35</v>
      </c>
      <c r="I23">
        <v>3</v>
      </c>
      <c r="J23" t="s">
        <v>304</v>
      </c>
      <c r="K23" t="s">
        <v>153</v>
      </c>
    </row>
    <row r="24" spans="1:11" x14ac:dyDescent="0.25">
      <c r="A24">
        <v>576</v>
      </c>
      <c r="B24" t="s">
        <v>305</v>
      </c>
      <c r="C24" t="s">
        <v>306</v>
      </c>
      <c r="D24" t="s">
        <v>310</v>
      </c>
      <c r="E24" t="s">
        <v>255</v>
      </c>
      <c r="F24" t="s">
        <v>256</v>
      </c>
      <c r="G24">
        <v>4</v>
      </c>
      <c r="H24">
        <v>2.35</v>
      </c>
      <c r="I24">
        <v>2</v>
      </c>
      <c r="J24" t="s">
        <v>307</v>
      </c>
      <c r="K24" t="s">
        <v>153</v>
      </c>
    </row>
    <row r="25" spans="1:11" x14ac:dyDescent="0.25">
      <c r="A25">
        <v>400</v>
      </c>
      <c r="B25" t="s">
        <v>125</v>
      </c>
      <c r="C25" t="s">
        <v>126</v>
      </c>
      <c r="D25" t="s">
        <v>312</v>
      </c>
      <c r="E25" t="s">
        <v>243</v>
      </c>
      <c r="F25" t="s">
        <v>244</v>
      </c>
      <c r="G25">
        <v>3</v>
      </c>
      <c r="H25">
        <v>1.75</v>
      </c>
      <c r="I25">
        <v>1</v>
      </c>
      <c r="J25" t="s">
        <v>286</v>
      </c>
      <c r="K25" t="s">
        <v>163</v>
      </c>
    </row>
    <row r="26" spans="1:11" x14ac:dyDescent="0.25">
      <c r="A26">
        <v>448</v>
      </c>
      <c r="B26" t="s">
        <v>78</v>
      </c>
      <c r="C26" t="s">
        <v>79</v>
      </c>
      <c r="D26" t="s">
        <v>312</v>
      </c>
      <c r="E26" t="s">
        <v>243</v>
      </c>
      <c r="F26" t="s">
        <v>244</v>
      </c>
      <c r="G26">
        <v>3</v>
      </c>
      <c r="H26">
        <v>1.75</v>
      </c>
      <c r="I26">
        <v>1</v>
      </c>
      <c r="J26" t="s">
        <v>286</v>
      </c>
      <c r="K26" t="s">
        <v>163</v>
      </c>
    </row>
    <row r="27" spans="1:11" x14ac:dyDescent="0.25">
      <c r="A27">
        <v>502</v>
      </c>
      <c r="B27" t="s">
        <v>114</v>
      </c>
      <c r="C27" t="s">
        <v>116</v>
      </c>
      <c r="D27" t="s">
        <v>312</v>
      </c>
      <c r="E27" t="s">
        <v>243</v>
      </c>
      <c r="F27" t="s">
        <v>244</v>
      </c>
      <c r="G27">
        <v>3</v>
      </c>
      <c r="H27">
        <v>1.75</v>
      </c>
      <c r="I27">
        <v>1</v>
      </c>
      <c r="J27" t="s">
        <v>286</v>
      </c>
      <c r="K27" t="s">
        <v>163</v>
      </c>
    </row>
    <row r="28" spans="1:11" x14ac:dyDescent="0.25">
      <c r="A28">
        <v>525</v>
      </c>
      <c r="B28" t="s">
        <v>302</v>
      </c>
      <c r="C28" t="s">
        <v>303</v>
      </c>
      <c r="D28" t="s">
        <v>312</v>
      </c>
      <c r="E28" t="s">
        <v>243</v>
      </c>
      <c r="F28" t="s">
        <v>244</v>
      </c>
      <c r="G28">
        <v>3</v>
      </c>
      <c r="H28">
        <v>1.75</v>
      </c>
      <c r="I28">
        <v>1</v>
      </c>
      <c r="J28" t="s">
        <v>286</v>
      </c>
      <c r="K28" t="s">
        <v>163</v>
      </c>
    </row>
    <row r="29" spans="1:11" x14ac:dyDescent="0.25">
      <c r="A29">
        <v>153</v>
      </c>
      <c r="B29" t="s">
        <v>53</v>
      </c>
      <c r="C29" t="s">
        <v>55</v>
      </c>
      <c r="D29" t="s">
        <v>313</v>
      </c>
      <c r="E29" t="s">
        <v>253</v>
      </c>
      <c r="F29" t="s">
        <v>254</v>
      </c>
      <c r="G29">
        <v>3</v>
      </c>
      <c r="H29">
        <v>2.8</v>
      </c>
      <c r="I29">
        <v>1</v>
      </c>
      <c r="J29" t="s">
        <v>286</v>
      </c>
      <c r="K29" t="s">
        <v>163</v>
      </c>
    </row>
    <row r="30" spans="1:11" x14ac:dyDescent="0.25">
      <c r="A30">
        <v>392</v>
      </c>
      <c r="B30" t="s">
        <v>125</v>
      </c>
      <c r="C30" t="s">
        <v>126</v>
      </c>
      <c r="D30" t="s">
        <v>314</v>
      </c>
      <c r="E30" t="s">
        <v>129</v>
      </c>
      <c r="F30" t="s">
        <v>130</v>
      </c>
      <c r="G30">
        <v>3</v>
      </c>
      <c r="H30">
        <v>2</v>
      </c>
      <c r="I30">
        <v>1</v>
      </c>
      <c r="J30" t="s">
        <v>286</v>
      </c>
      <c r="K30" t="s">
        <v>36</v>
      </c>
    </row>
    <row r="31" spans="1:11" x14ac:dyDescent="0.25">
      <c r="A31">
        <v>143</v>
      </c>
      <c r="B31" t="s">
        <v>53</v>
      </c>
      <c r="C31" t="s">
        <v>55</v>
      </c>
      <c r="D31" t="s">
        <v>315</v>
      </c>
      <c r="E31" t="s">
        <v>52</v>
      </c>
      <c r="F31" t="s">
        <v>54</v>
      </c>
      <c r="G31">
        <v>6</v>
      </c>
      <c r="H31">
        <v>3</v>
      </c>
      <c r="I31">
        <v>1</v>
      </c>
      <c r="J31" t="s">
        <v>316</v>
      </c>
      <c r="K31" t="s">
        <v>36</v>
      </c>
    </row>
    <row r="32" spans="1:11" x14ac:dyDescent="0.25">
      <c r="A32">
        <v>181</v>
      </c>
      <c r="B32" t="s">
        <v>63</v>
      </c>
      <c r="C32" t="s">
        <v>65</v>
      </c>
      <c r="D32" t="s">
        <v>317</v>
      </c>
      <c r="E32" t="s">
        <v>218</v>
      </c>
      <c r="F32" t="s">
        <v>219</v>
      </c>
      <c r="G32">
        <v>3</v>
      </c>
      <c r="H32">
        <v>2.4500000000000002</v>
      </c>
      <c r="I32">
        <v>1</v>
      </c>
      <c r="J32" t="s">
        <v>286</v>
      </c>
      <c r="K32" t="s">
        <v>171</v>
      </c>
    </row>
    <row r="33" spans="1:11" x14ac:dyDescent="0.25">
      <c r="A33">
        <v>446</v>
      </c>
      <c r="B33" t="s">
        <v>78</v>
      </c>
      <c r="C33" t="s">
        <v>79</v>
      </c>
      <c r="D33" t="s">
        <v>317</v>
      </c>
      <c r="E33" t="s">
        <v>218</v>
      </c>
      <c r="F33" t="s">
        <v>219</v>
      </c>
      <c r="G33">
        <v>3</v>
      </c>
      <c r="H33">
        <v>2.4500000000000002</v>
      </c>
      <c r="I33">
        <v>1</v>
      </c>
      <c r="J33" t="s">
        <v>286</v>
      </c>
      <c r="K33" t="s">
        <v>171</v>
      </c>
    </row>
    <row r="34" spans="1:11" x14ac:dyDescent="0.25">
      <c r="A34">
        <v>499</v>
      </c>
      <c r="B34" t="s">
        <v>114</v>
      </c>
      <c r="C34" t="s">
        <v>116</v>
      </c>
      <c r="D34" t="s">
        <v>317</v>
      </c>
      <c r="E34" t="s">
        <v>218</v>
      </c>
      <c r="F34" t="s">
        <v>219</v>
      </c>
      <c r="G34">
        <v>3</v>
      </c>
      <c r="H34">
        <v>2.4500000000000002</v>
      </c>
      <c r="I34">
        <v>1</v>
      </c>
      <c r="J34" t="s">
        <v>286</v>
      </c>
      <c r="K34" t="s">
        <v>171</v>
      </c>
    </row>
    <row r="35" spans="1:11" x14ac:dyDescent="0.25">
      <c r="A35">
        <v>144</v>
      </c>
      <c r="B35" t="s">
        <v>53</v>
      </c>
      <c r="C35" t="s">
        <v>55</v>
      </c>
      <c r="D35" t="s">
        <v>318</v>
      </c>
      <c r="E35" t="s">
        <v>231</v>
      </c>
      <c r="F35" t="s">
        <v>232</v>
      </c>
      <c r="G35">
        <v>3</v>
      </c>
      <c r="H35">
        <v>3.3</v>
      </c>
      <c r="I35">
        <v>1</v>
      </c>
      <c r="J35" t="s">
        <v>286</v>
      </c>
      <c r="K35" t="s">
        <v>171</v>
      </c>
    </row>
    <row r="36" spans="1:11" x14ac:dyDescent="0.25">
      <c r="A36">
        <v>159</v>
      </c>
      <c r="B36" t="s">
        <v>60</v>
      </c>
      <c r="C36" t="s">
        <v>61</v>
      </c>
      <c r="D36" t="s">
        <v>319</v>
      </c>
      <c r="E36" t="s">
        <v>216</v>
      </c>
      <c r="F36" t="s">
        <v>217</v>
      </c>
      <c r="G36">
        <v>3</v>
      </c>
      <c r="H36">
        <v>3.15</v>
      </c>
      <c r="I36">
        <v>1</v>
      </c>
      <c r="J36" t="s">
        <v>286</v>
      </c>
      <c r="K36" t="s">
        <v>153</v>
      </c>
    </row>
    <row r="37" spans="1:11" x14ac:dyDescent="0.25">
      <c r="A37">
        <v>303</v>
      </c>
      <c r="B37" t="s">
        <v>75</v>
      </c>
      <c r="C37" t="s">
        <v>77</v>
      </c>
      <c r="D37" t="s">
        <v>319</v>
      </c>
      <c r="E37" t="s">
        <v>216</v>
      </c>
      <c r="F37" t="s">
        <v>217</v>
      </c>
      <c r="G37">
        <v>3</v>
      </c>
      <c r="H37">
        <v>3.15</v>
      </c>
      <c r="I37">
        <v>1</v>
      </c>
      <c r="J37" t="s">
        <v>286</v>
      </c>
      <c r="K37" t="s">
        <v>153</v>
      </c>
    </row>
    <row r="38" spans="1:11" x14ac:dyDescent="0.25">
      <c r="A38">
        <v>398</v>
      </c>
      <c r="B38" t="s">
        <v>125</v>
      </c>
      <c r="C38" t="s">
        <v>126</v>
      </c>
      <c r="D38" t="s">
        <v>319</v>
      </c>
      <c r="E38" t="s">
        <v>216</v>
      </c>
      <c r="F38" t="s">
        <v>217</v>
      </c>
      <c r="G38">
        <v>3</v>
      </c>
      <c r="H38">
        <v>3.15</v>
      </c>
      <c r="I38">
        <v>1</v>
      </c>
      <c r="J38" t="s">
        <v>286</v>
      </c>
      <c r="K38" t="s">
        <v>153</v>
      </c>
    </row>
    <row r="39" spans="1:11" x14ac:dyDescent="0.25">
      <c r="A39">
        <v>500</v>
      </c>
      <c r="B39" t="s">
        <v>114</v>
      </c>
      <c r="C39" t="s">
        <v>116</v>
      </c>
      <c r="D39" t="s">
        <v>319</v>
      </c>
      <c r="E39" t="s">
        <v>216</v>
      </c>
      <c r="F39" t="s">
        <v>217</v>
      </c>
      <c r="G39">
        <v>3</v>
      </c>
      <c r="H39">
        <v>3.15</v>
      </c>
      <c r="I39">
        <v>1</v>
      </c>
      <c r="J39" t="s">
        <v>286</v>
      </c>
      <c r="K39" t="s">
        <v>153</v>
      </c>
    </row>
    <row r="40" spans="1:11" x14ac:dyDescent="0.25">
      <c r="A40">
        <v>551</v>
      </c>
      <c r="B40" t="s">
        <v>81</v>
      </c>
      <c r="C40" t="s">
        <v>83</v>
      </c>
      <c r="D40" t="s">
        <v>319</v>
      </c>
      <c r="E40" t="s">
        <v>216</v>
      </c>
      <c r="F40" t="s">
        <v>217</v>
      </c>
      <c r="G40">
        <v>3</v>
      </c>
      <c r="H40">
        <v>3.15</v>
      </c>
      <c r="I40">
        <v>1</v>
      </c>
      <c r="J40" t="s">
        <v>286</v>
      </c>
      <c r="K40" t="s">
        <v>153</v>
      </c>
    </row>
    <row r="41" spans="1:11" x14ac:dyDescent="0.25">
      <c r="A41">
        <v>608</v>
      </c>
      <c r="B41" t="s">
        <v>85</v>
      </c>
      <c r="C41" t="s">
        <v>87</v>
      </c>
      <c r="D41" t="s">
        <v>319</v>
      </c>
      <c r="E41" t="s">
        <v>216</v>
      </c>
      <c r="F41" t="s">
        <v>217</v>
      </c>
      <c r="G41">
        <v>3</v>
      </c>
      <c r="H41">
        <v>3.15</v>
      </c>
      <c r="I41">
        <v>1</v>
      </c>
      <c r="J41" t="s">
        <v>286</v>
      </c>
      <c r="K41" t="s">
        <v>153</v>
      </c>
    </row>
    <row r="42" spans="1:11" x14ac:dyDescent="0.25">
      <c r="A42">
        <v>204</v>
      </c>
      <c r="B42" t="s">
        <v>72</v>
      </c>
      <c r="C42" t="s">
        <v>73</v>
      </c>
      <c r="D42" t="s">
        <v>320</v>
      </c>
      <c r="E42" t="s">
        <v>235</v>
      </c>
      <c r="F42" t="s">
        <v>236</v>
      </c>
      <c r="G42">
        <v>3</v>
      </c>
      <c r="H42">
        <v>3.95</v>
      </c>
      <c r="I42">
        <v>1</v>
      </c>
      <c r="J42" t="s">
        <v>286</v>
      </c>
      <c r="K42" t="s">
        <v>153</v>
      </c>
    </row>
    <row r="43" spans="1:11" x14ac:dyDescent="0.25">
      <c r="A43">
        <v>550</v>
      </c>
      <c r="B43" t="s">
        <v>81</v>
      </c>
      <c r="C43" t="s">
        <v>83</v>
      </c>
      <c r="D43" t="s">
        <v>321</v>
      </c>
      <c r="E43" t="s">
        <v>80</v>
      </c>
      <c r="F43" t="s">
        <v>82</v>
      </c>
      <c r="G43">
        <v>3</v>
      </c>
      <c r="H43">
        <v>4</v>
      </c>
      <c r="I43">
        <v>1</v>
      </c>
      <c r="J43" t="s">
        <v>286</v>
      </c>
      <c r="K43" t="s">
        <v>36</v>
      </c>
    </row>
    <row r="44" spans="1:11" x14ac:dyDescent="0.25">
      <c r="A44">
        <v>128</v>
      </c>
      <c r="B44" t="s">
        <v>47</v>
      </c>
      <c r="C44" t="s">
        <v>49</v>
      </c>
      <c r="D44" t="s">
        <v>322</v>
      </c>
      <c r="E44" t="s">
        <v>214</v>
      </c>
      <c r="F44" t="s">
        <v>215</v>
      </c>
      <c r="G44">
        <v>3</v>
      </c>
      <c r="H44">
        <v>5</v>
      </c>
      <c r="I44">
        <v>1</v>
      </c>
      <c r="J44" t="s">
        <v>286</v>
      </c>
      <c r="K44" t="s">
        <v>36</v>
      </c>
    </row>
    <row r="45" spans="1:11" x14ac:dyDescent="0.25">
      <c r="A45">
        <v>305</v>
      </c>
      <c r="B45" t="s">
        <v>75</v>
      </c>
      <c r="C45" t="s">
        <v>77</v>
      </c>
      <c r="D45" t="s">
        <v>323</v>
      </c>
      <c r="E45" t="s">
        <v>241</v>
      </c>
      <c r="F45" t="s">
        <v>242</v>
      </c>
      <c r="G45">
        <v>3</v>
      </c>
      <c r="H45">
        <v>4.2</v>
      </c>
      <c r="I45">
        <v>1</v>
      </c>
      <c r="J45" t="s">
        <v>286</v>
      </c>
      <c r="K45" t="s">
        <v>171</v>
      </c>
    </row>
    <row r="46" spans="1:11" x14ac:dyDescent="0.25">
      <c r="A46">
        <v>581</v>
      </c>
      <c r="B46" t="s">
        <v>305</v>
      </c>
      <c r="C46" t="s">
        <v>306</v>
      </c>
      <c r="D46" t="s">
        <v>323</v>
      </c>
      <c r="E46" t="s">
        <v>241</v>
      </c>
      <c r="F46" t="s">
        <v>242</v>
      </c>
      <c r="G46">
        <v>3</v>
      </c>
      <c r="H46">
        <v>4.2</v>
      </c>
      <c r="I46">
        <v>1</v>
      </c>
      <c r="J46" t="s">
        <v>286</v>
      </c>
      <c r="K46" t="s">
        <v>171</v>
      </c>
    </row>
    <row r="47" spans="1:11" x14ac:dyDescent="0.25">
      <c r="A47">
        <v>184</v>
      </c>
      <c r="B47" t="s">
        <v>63</v>
      </c>
      <c r="C47" t="s">
        <v>65</v>
      </c>
      <c r="D47" t="s">
        <v>324</v>
      </c>
      <c r="E47" t="s">
        <v>220</v>
      </c>
      <c r="F47" t="s">
        <v>221</v>
      </c>
      <c r="G47">
        <v>3</v>
      </c>
      <c r="H47">
        <v>4.8</v>
      </c>
      <c r="I47">
        <v>1</v>
      </c>
      <c r="J47" t="s">
        <v>286</v>
      </c>
      <c r="K47" t="s">
        <v>153</v>
      </c>
    </row>
    <row r="48" spans="1:11" x14ac:dyDescent="0.25">
      <c r="A48">
        <v>185</v>
      </c>
      <c r="B48" t="s">
        <v>63</v>
      </c>
      <c r="C48" t="s">
        <v>65</v>
      </c>
      <c r="D48" t="s">
        <v>325</v>
      </c>
      <c r="E48" t="s">
        <v>228</v>
      </c>
      <c r="F48" t="s">
        <v>230</v>
      </c>
      <c r="G48">
        <v>3</v>
      </c>
      <c r="H48">
        <v>1</v>
      </c>
      <c r="I48">
        <v>1</v>
      </c>
      <c r="J48" t="s">
        <v>286</v>
      </c>
      <c r="K48" t="s">
        <v>229</v>
      </c>
    </row>
    <row r="49" spans="1:11" x14ac:dyDescent="0.25">
      <c r="A49">
        <v>249</v>
      </c>
      <c r="B49" t="s">
        <v>308</v>
      </c>
      <c r="C49" t="s">
        <v>309</v>
      </c>
      <c r="D49" t="s">
        <v>325</v>
      </c>
      <c r="E49" t="s">
        <v>228</v>
      </c>
      <c r="F49" t="s">
        <v>230</v>
      </c>
      <c r="G49">
        <v>3</v>
      </c>
      <c r="H49">
        <v>1</v>
      </c>
      <c r="I49">
        <v>1</v>
      </c>
      <c r="J49" t="s">
        <v>286</v>
      </c>
      <c r="K49" t="s">
        <v>229</v>
      </c>
    </row>
    <row r="50" spans="1:11" x14ac:dyDescent="0.25">
      <c r="A50">
        <v>428</v>
      </c>
      <c r="B50" t="s">
        <v>298</v>
      </c>
      <c r="C50" t="s">
        <v>299</v>
      </c>
      <c r="D50" t="s">
        <v>325</v>
      </c>
      <c r="E50" t="s">
        <v>228</v>
      </c>
      <c r="F50" t="s">
        <v>230</v>
      </c>
      <c r="G50">
        <v>3</v>
      </c>
      <c r="H50">
        <v>1</v>
      </c>
      <c r="I50">
        <v>1</v>
      </c>
      <c r="J50" t="s">
        <v>286</v>
      </c>
      <c r="K50" t="s">
        <v>229</v>
      </c>
    </row>
    <row r="51" spans="1:11" x14ac:dyDescent="0.25">
      <c r="A51">
        <v>452</v>
      </c>
      <c r="B51" t="s">
        <v>78</v>
      </c>
      <c r="C51" t="s">
        <v>79</v>
      </c>
      <c r="D51" t="s">
        <v>325</v>
      </c>
      <c r="E51" t="s">
        <v>228</v>
      </c>
      <c r="F51" t="s">
        <v>230</v>
      </c>
      <c r="G51">
        <v>3</v>
      </c>
      <c r="H51">
        <v>1</v>
      </c>
      <c r="I51">
        <v>1</v>
      </c>
      <c r="J51" t="s">
        <v>286</v>
      </c>
      <c r="K51" t="s">
        <v>229</v>
      </c>
    </row>
    <row r="52" spans="1:11" x14ac:dyDescent="0.25">
      <c r="A52">
        <v>476</v>
      </c>
      <c r="B52" t="s">
        <v>300</v>
      </c>
      <c r="C52" t="s">
        <v>301</v>
      </c>
      <c r="D52" t="s">
        <v>325</v>
      </c>
      <c r="E52" t="s">
        <v>228</v>
      </c>
      <c r="F52" t="s">
        <v>230</v>
      </c>
      <c r="G52">
        <v>3</v>
      </c>
      <c r="H52">
        <v>1</v>
      </c>
      <c r="I52">
        <v>1</v>
      </c>
      <c r="J52" t="s">
        <v>286</v>
      </c>
      <c r="K52" t="s">
        <v>229</v>
      </c>
    </row>
    <row r="53" spans="1:11" x14ac:dyDescent="0.25">
      <c r="A53">
        <v>529</v>
      </c>
      <c r="B53" t="s">
        <v>302</v>
      </c>
      <c r="C53" t="s">
        <v>303</v>
      </c>
      <c r="D53" t="s">
        <v>325</v>
      </c>
      <c r="E53" t="s">
        <v>228</v>
      </c>
      <c r="F53" t="s">
        <v>230</v>
      </c>
      <c r="G53">
        <v>3</v>
      </c>
      <c r="H53">
        <v>1</v>
      </c>
      <c r="I53">
        <v>1</v>
      </c>
      <c r="J53" t="s">
        <v>286</v>
      </c>
      <c r="K53" t="s">
        <v>229</v>
      </c>
    </row>
    <row r="54" spans="1:11" x14ac:dyDescent="0.25">
      <c r="A54">
        <v>584</v>
      </c>
      <c r="B54" t="s">
        <v>305</v>
      </c>
      <c r="C54" t="s">
        <v>306</v>
      </c>
      <c r="D54" t="s">
        <v>325</v>
      </c>
      <c r="E54" t="s">
        <v>228</v>
      </c>
      <c r="F54" t="s">
        <v>230</v>
      </c>
      <c r="G54">
        <v>3</v>
      </c>
      <c r="H54">
        <v>1</v>
      </c>
      <c r="I54">
        <v>1</v>
      </c>
      <c r="J54" t="s">
        <v>286</v>
      </c>
      <c r="K54" t="s">
        <v>229</v>
      </c>
    </row>
    <row r="55" spans="1:11" x14ac:dyDescent="0.25">
      <c r="A55">
        <v>556</v>
      </c>
      <c r="B55" t="s">
        <v>81</v>
      </c>
      <c r="C55" t="s">
        <v>83</v>
      </c>
      <c r="D55" t="s">
        <v>326</v>
      </c>
      <c r="E55" t="s">
        <v>247</v>
      </c>
      <c r="F55" t="s">
        <v>248</v>
      </c>
      <c r="G55">
        <v>3</v>
      </c>
      <c r="H55">
        <v>5.0999999999999996</v>
      </c>
      <c r="I55">
        <v>1</v>
      </c>
      <c r="J55" t="s">
        <v>286</v>
      </c>
      <c r="K55" t="s">
        <v>171</v>
      </c>
    </row>
    <row r="56" spans="1:11" x14ac:dyDescent="0.25">
      <c r="A56">
        <v>615</v>
      </c>
      <c r="B56" t="s">
        <v>85</v>
      </c>
      <c r="C56" t="s">
        <v>87</v>
      </c>
      <c r="D56" t="s">
        <v>327</v>
      </c>
      <c r="E56" t="s">
        <v>249</v>
      </c>
      <c r="F56" t="s">
        <v>250</v>
      </c>
      <c r="G56">
        <v>3</v>
      </c>
      <c r="H56">
        <v>5.55</v>
      </c>
      <c r="I56">
        <v>1</v>
      </c>
      <c r="J56" t="s">
        <v>286</v>
      </c>
      <c r="K56" t="s">
        <v>153</v>
      </c>
    </row>
    <row r="57" spans="1:11" x14ac:dyDescent="0.25">
      <c r="A57">
        <v>408</v>
      </c>
      <c r="B57" t="s">
        <v>125</v>
      </c>
      <c r="C57" t="s">
        <v>126</v>
      </c>
      <c r="D57" t="s">
        <v>328</v>
      </c>
      <c r="E57" t="s">
        <v>127</v>
      </c>
      <c r="F57" t="s">
        <v>128</v>
      </c>
      <c r="G57">
        <v>3</v>
      </c>
      <c r="H57">
        <v>6</v>
      </c>
      <c r="I57">
        <v>1</v>
      </c>
      <c r="J57" t="s">
        <v>286</v>
      </c>
      <c r="K57" t="s">
        <v>36</v>
      </c>
    </row>
    <row r="58" spans="1:11" x14ac:dyDescent="0.25">
      <c r="A58">
        <v>67</v>
      </c>
      <c r="B58" t="s">
        <v>268</v>
      </c>
      <c r="C58" t="s">
        <v>269</v>
      </c>
      <c r="D58" t="s">
        <v>329</v>
      </c>
      <c r="E58" t="s">
        <v>34</v>
      </c>
      <c r="F58" t="s">
        <v>38</v>
      </c>
      <c r="G58">
        <v>2</v>
      </c>
      <c r="H58">
        <v>7</v>
      </c>
      <c r="I58">
        <v>1</v>
      </c>
      <c r="J58" t="s">
        <v>286</v>
      </c>
      <c r="K58" t="s">
        <v>36</v>
      </c>
    </row>
    <row r="59" spans="1:11" x14ac:dyDescent="0.25">
      <c r="A59">
        <v>84</v>
      </c>
      <c r="B59" t="s">
        <v>37</v>
      </c>
      <c r="C59" t="s">
        <v>39</v>
      </c>
      <c r="D59" t="s">
        <v>329</v>
      </c>
      <c r="E59" t="s">
        <v>34</v>
      </c>
      <c r="F59" t="s">
        <v>38</v>
      </c>
      <c r="G59">
        <v>3</v>
      </c>
      <c r="H59">
        <v>7</v>
      </c>
      <c r="I59">
        <v>1</v>
      </c>
      <c r="J59" t="s">
        <v>286</v>
      </c>
      <c r="K59" t="s">
        <v>36</v>
      </c>
    </row>
    <row r="60" spans="1:11" x14ac:dyDescent="0.25">
      <c r="A60">
        <v>148</v>
      </c>
      <c r="B60" t="s">
        <v>53</v>
      </c>
      <c r="C60" t="s">
        <v>55</v>
      </c>
      <c r="D60" t="s">
        <v>329</v>
      </c>
      <c r="E60" t="s">
        <v>34</v>
      </c>
      <c r="F60" t="s">
        <v>38</v>
      </c>
      <c r="G60">
        <v>3</v>
      </c>
      <c r="H60">
        <v>7</v>
      </c>
      <c r="I60">
        <v>1</v>
      </c>
      <c r="J60" t="s">
        <v>286</v>
      </c>
      <c r="K60" t="s">
        <v>36</v>
      </c>
    </row>
    <row r="61" spans="1:11" x14ac:dyDescent="0.25">
      <c r="A61">
        <v>165</v>
      </c>
      <c r="B61" t="s">
        <v>60</v>
      </c>
      <c r="C61" t="s">
        <v>61</v>
      </c>
      <c r="D61" t="s">
        <v>329</v>
      </c>
      <c r="E61" t="s">
        <v>34</v>
      </c>
      <c r="F61" t="s">
        <v>38</v>
      </c>
      <c r="G61">
        <v>3</v>
      </c>
      <c r="H61">
        <v>7</v>
      </c>
      <c r="I61">
        <v>1</v>
      </c>
      <c r="J61" t="s">
        <v>286</v>
      </c>
      <c r="K61" t="s">
        <v>36</v>
      </c>
    </row>
    <row r="62" spans="1:11" x14ac:dyDescent="0.25">
      <c r="A62">
        <v>189</v>
      </c>
      <c r="B62" t="s">
        <v>63</v>
      </c>
      <c r="C62" t="s">
        <v>65</v>
      </c>
      <c r="D62" t="s">
        <v>329</v>
      </c>
      <c r="E62" t="s">
        <v>34</v>
      </c>
      <c r="F62" t="s">
        <v>38</v>
      </c>
      <c r="G62">
        <v>3</v>
      </c>
      <c r="H62">
        <v>7</v>
      </c>
      <c r="I62">
        <v>1</v>
      </c>
      <c r="J62" t="s">
        <v>286</v>
      </c>
      <c r="K62" t="s">
        <v>36</v>
      </c>
    </row>
    <row r="63" spans="1:11" x14ac:dyDescent="0.25">
      <c r="A63">
        <v>212</v>
      </c>
      <c r="B63" t="s">
        <v>72</v>
      </c>
      <c r="C63" t="s">
        <v>73</v>
      </c>
      <c r="D63" t="s">
        <v>329</v>
      </c>
      <c r="E63" t="s">
        <v>34</v>
      </c>
      <c r="F63" t="s">
        <v>38</v>
      </c>
      <c r="G63">
        <v>3</v>
      </c>
      <c r="H63">
        <v>7</v>
      </c>
      <c r="I63">
        <v>1</v>
      </c>
      <c r="J63" t="s">
        <v>286</v>
      </c>
      <c r="K63" t="s">
        <v>36</v>
      </c>
    </row>
    <row r="64" spans="1:11" x14ac:dyDescent="0.25">
      <c r="A64">
        <v>232</v>
      </c>
      <c r="B64" t="s">
        <v>107</v>
      </c>
      <c r="C64" t="s">
        <v>108</v>
      </c>
      <c r="D64" t="s">
        <v>329</v>
      </c>
      <c r="E64" t="s">
        <v>34</v>
      </c>
      <c r="F64" t="s">
        <v>38</v>
      </c>
      <c r="G64">
        <v>3</v>
      </c>
      <c r="H64">
        <v>7</v>
      </c>
      <c r="I64">
        <v>1</v>
      </c>
      <c r="J64" t="s">
        <v>286</v>
      </c>
      <c r="K64" t="s">
        <v>36</v>
      </c>
    </row>
    <row r="65" spans="1:11" x14ac:dyDescent="0.25">
      <c r="A65">
        <v>315</v>
      </c>
      <c r="B65" t="s">
        <v>75</v>
      </c>
      <c r="C65" t="s">
        <v>77</v>
      </c>
      <c r="D65" t="s">
        <v>329</v>
      </c>
      <c r="E65" t="s">
        <v>34</v>
      </c>
      <c r="F65" t="s">
        <v>38</v>
      </c>
      <c r="G65">
        <v>3</v>
      </c>
      <c r="H65">
        <v>7</v>
      </c>
      <c r="I65">
        <v>1</v>
      </c>
      <c r="J65" t="s">
        <v>286</v>
      </c>
      <c r="K65" t="s">
        <v>36</v>
      </c>
    </row>
    <row r="66" spans="1:11" x14ac:dyDescent="0.25">
      <c r="A66">
        <v>587</v>
      </c>
      <c r="B66" t="s">
        <v>305</v>
      </c>
      <c r="C66" t="s">
        <v>306</v>
      </c>
      <c r="D66" t="s">
        <v>329</v>
      </c>
      <c r="E66" t="s">
        <v>34</v>
      </c>
      <c r="F66" t="s">
        <v>38</v>
      </c>
      <c r="G66">
        <v>3</v>
      </c>
      <c r="H66">
        <v>7</v>
      </c>
      <c r="I66">
        <v>1</v>
      </c>
      <c r="J66" t="s">
        <v>286</v>
      </c>
      <c r="K66" t="s">
        <v>36</v>
      </c>
    </row>
    <row r="67" spans="1:11" x14ac:dyDescent="0.25">
      <c r="A67">
        <v>126</v>
      </c>
      <c r="B67" t="s">
        <v>47</v>
      </c>
      <c r="C67" t="s">
        <v>49</v>
      </c>
      <c r="D67" t="s">
        <v>330</v>
      </c>
      <c r="E67" t="s">
        <v>233</v>
      </c>
      <c r="F67" t="s">
        <v>234</v>
      </c>
      <c r="G67">
        <v>3</v>
      </c>
      <c r="H67">
        <v>6</v>
      </c>
      <c r="I67">
        <v>1</v>
      </c>
      <c r="J67" t="s">
        <v>286</v>
      </c>
      <c r="K67" t="s">
        <v>171</v>
      </c>
    </row>
    <row r="68" spans="1:11" x14ac:dyDescent="0.25">
      <c r="A68">
        <v>178</v>
      </c>
      <c r="B68" t="s">
        <v>63</v>
      </c>
      <c r="C68" t="s">
        <v>65</v>
      </c>
      <c r="D68" t="s">
        <v>330</v>
      </c>
      <c r="E68" t="s">
        <v>233</v>
      </c>
      <c r="F68" t="s">
        <v>234</v>
      </c>
      <c r="G68">
        <v>3</v>
      </c>
      <c r="H68">
        <v>6</v>
      </c>
      <c r="I68">
        <v>1</v>
      </c>
      <c r="J68" t="s">
        <v>286</v>
      </c>
      <c r="K68" t="s">
        <v>171</v>
      </c>
    </row>
    <row r="69" spans="1:11" x14ac:dyDescent="0.25">
      <c r="A69">
        <v>457</v>
      </c>
      <c r="B69" t="s">
        <v>78</v>
      </c>
      <c r="C69" t="s">
        <v>79</v>
      </c>
      <c r="D69" t="s">
        <v>331</v>
      </c>
      <c r="E69" t="s">
        <v>105</v>
      </c>
      <c r="F69" t="s">
        <v>106</v>
      </c>
      <c r="G69">
        <v>3</v>
      </c>
      <c r="H69">
        <v>8</v>
      </c>
      <c r="I69">
        <v>1</v>
      </c>
      <c r="J69" t="s">
        <v>286</v>
      </c>
      <c r="K69" t="s">
        <v>36</v>
      </c>
    </row>
    <row r="70" spans="1:11" x14ac:dyDescent="0.25">
      <c r="A70">
        <v>563</v>
      </c>
      <c r="B70" t="s">
        <v>81</v>
      </c>
      <c r="C70" t="s">
        <v>83</v>
      </c>
      <c r="D70" t="s">
        <v>331</v>
      </c>
      <c r="E70" t="s">
        <v>105</v>
      </c>
      <c r="F70" t="s">
        <v>106</v>
      </c>
      <c r="G70">
        <v>3</v>
      </c>
      <c r="H70">
        <v>8</v>
      </c>
      <c r="I70">
        <v>1</v>
      </c>
      <c r="J70" t="s">
        <v>286</v>
      </c>
      <c r="K70" t="s">
        <v>36</v>
      </c>
    </row>
    <row r="71" spans="1:11" x14ac:dyDescent="0.25">
      <c r="A71">
        <v>618</v>
      </c>
      <c r="B71" t="s">
        <v>85</v>
      </c>
      <c r="C71" t="s">
        <v>87</v>
      </c>
      <c r="D71" t="s">
        <v>331</v>
      </c>
      <c r="E71" t="s">
        <v>105</v>
      </c>
      <c r="F71" t="s">
        <v>106</v>
      </c>
      <c r="G71">
        <v>3</v>
      </c>
      <c r="H71">
        <v>8</v>
      </c>
      <c r="I71">
        <v>1</v>
      </c>
      <c r="J71" t="s">
        <v>286</v>
      </c>
      <c r="K71" t="s">
        <v>36</v>
      </c>
    </row>
    <row r="72" spans="1:11" x14ac:dyDescent="0.25">
      <c r="A72">
        <v>361</v>
      </c>
      <c r="B72" t="s">
        <v>109</v>
      </c>
      <c r="C72" t="s">
        <v>110</v>
      </c>
      <c r="D72" t="s">
        <v>332</v>
      </c>
      <c r="E72" t="s">
        <v>101</v>
      </c>
      <c r="F72" t="s">
        <v>102</v>
      </c>
      <c r="G72">
        <v>3</v>
      </c>
      <c r="H72">
        <v>9</v>
      </c>
      <c r="I72">
        <v>1</v>
      </c>
      <c r="J72" t="s">
        <v>286</v>
      </c>
      <c r="K72" t="s">
        <v>36</v>
      </c>
    </row>
    <row r="73" spans="1:11" x14ac:dyDescent="0.25">
      <c r="A73">
        <v>459</v>
      </c>
      <c r="B73" t="s">
        <v>78</v>
      </c>
      <c r="C73" t="s">
        <v>79</v>
      </c>
      <c r="D73" t="s">
        <v>332</v>
      </c>
      <c r="E73" t="s">
        <v>101</v>
      </c>
      <c r="F73" t="s">
        <v>102</v>
      </c>
      <c r="G73">
        <v>3</v>
      </c>
      <c r="H73">
        <v>9</v>
      </c>
      <c r="I73">
        <v>1</v>
      </c>
      <c r="J73" t="s">
        <v>286</v>
      </c>
      <c r="K73" t="s">
        <v>36</v>
      </c>
    </row>
    <row r="74" spans="1:11" x14ac:dyDescent="0.25">
      <c r="A74">
        <v>413</v>
      </c>
      <c r="B74" t="s">
        <v>125</v>
      </c>
      <c r="C74" t="s">
        <v>126</v>
      </c>
      <c r="D74" t="s">
        <v>333</v>
      </c>
      <c r="E74" t="s">
        <v>245</v>
      </c>
      <c r="F74" t="s">
        <v>246</v>
      </c>
      <c r="G74">
        <v>3</v>
      </c>
      <c r="H74">
        <v>3.85</v>
      </c>
      <c r="I74">
        <v>1</v>
      </c>
      <c r="J74" t="s">
        <v>286</v>
      </c>
      <c r="K74" t="s">
        <v>163</v>
      </c>
    </row>
    <row r="75" spans="1:11" x14ac:dyDescent="0.25">
      <c r="A75">
        <v>414</v>
      </c>
      <c r="B75" t="s">
        <v>125</v>
      </c>
      <c r="C75" t="s">
        <v>126</v>
      </c>
      <c r="D75" t="s">
        <v>334</v>
      </c>
      <c r="E75" t="s">
        <v>257</v>
      </c>
      <c r="F75" t="s">
        <v>258</v>
      </c>
      <c r="G75">
        <v>3</v>
      </c>
      <c r="H75">
        <v>6.9</v>
      </c>
      <c r="I75">
        <v>1</v>
      </c>
      <c r="J75" t="s">
        <v>286</v>
      </c>
      <c r="K75" t="s">
        <v>171</v>
      </c>
    </row>
    <row r="76" spans="1:11" x14ac:dyDescent="0.25">
      <c r="A76">
        <v>168</v>
      </c>
      <c r="B76" t="s">
        <v>60</v>
      </c>
      <c r="C76" t="s">
        <v>61</v>
      </c>
      <c r="D76" t="s">
        <v>335</v>
      </c>
      <c r="E76" t="s">
        <v>224</v>
      </c>
      <c r="F76" t="s">
        <v>225</v>
      </c>
      <c r="G76">
        <v>3</v>
      </c>
      <c r="H76">
        <v>4.9000000000000004</v>
      </c>
      <c r="I76">
        <v>1</v>
      </c>
      <c r="J76" t="s">
        <v>286</v>
      </c>
      <c r="K76" t="s">
        <v>163</v>
      </c>
    </row>
    <row r="77" spans="1:11" x14ac:dyDescent="0.25">
      <c r="A77">
        <v>319</v>
      </c>
      <c r="B77" t="s">
        <v>75</v>
      </c>
      <c r="C77" t="s">
        <v>77</v>
      </c>
      <c r="D77" t="s">
        <v>335</v>
      </c>
      <c r="E77" t="s">
        <v>224</v>
      </c>
      <c r="F77" t="s">
        <v>225</v>
      </c>
      <c r="G77">
        <v>3</v>
      </c>
      <c r="H77">
        <v>4.9000000000000004</v>
      </c>
      <c r="I77">
        <v>1</v>
      </c>
      <c r="J77" t="s">
        <v>286</v>
      </c>
      <c r="K77" t="s">
        <v>163</v>
      </c>
    </row>
    <row r="78" spans="1:11" x14ac:dyDescent="0.25">
      <c r="A78">
        <v>366</v>
      </c>
      <c r="B78" t="s">
        <v>109</v>
      </c>
      <c r="C78" t="s">
        <v>110</v>
      </c>
      <c r="D78" t="s">
        <v>335</v>
      </c>
      <c r="E78" t="s">
        <v>224</v>
      </c>
      <c r="F78" t="s">
        <v>225</v>
      </c>
      <c r="G78">
        <v>3</v>
      </c>
      <c r="H78">
        <v>4.9000000000000004</v>
      </c>
      <c r="I78">
        <v>1</v>
      </c>
      <c r="J78" t="s">
        <v>286</v>
      </c>
      <c r="K78" t="s">
        <v>163</v>
      </c>
    </row>
    <row r="79" spans="1:11" x14ac:dyDescent="0.25">
      <c r="A79">
        <v>415</v>
      </c>
      <c r="B79" t="s">
        <v>125</v>
      </c>
      <c r="C79" t="s">
        <v>126</v>
      </c>
      <c r="D79" t="s">
        <v>335</v>
      </c>
      <c r="E79" t="s">
        <v>224</v>
      </c>
      <c r="F79" t="s">
        <v>225</v>
      </c>
      <c r="G79">
        <v>3</v>
      </c>
      <c r="H79">
        <v>4.9000000000000004</v>
      </c>
      <c r="I79">
        <v>1</v>
      </c>
      <c r="J79" t="s">
        <v>286</v>
      </c>
      <c r="K79" t="s">
        <v>163</v>
      </c>
    </row>
    <row r="80" spans="1:11" x14ac:dyDescent="0.25">
      <c r="A80">
        <v>568</v>
      </c>
      <c r="B80" t="s">
        <v>81</v>
      </c>
      <c r="C80" t="s">
        <v>83</v>
      </c>
      <c r="D80" t="s">
        <v>335</v>
      </c>
      <c r="E80" t="s">
        <v>224</v>
      </c>
      <c r="F80" t="s">
        <v>225</v>
      </c>
      <c r="G80">
        <v>3</v>
      </c>
      <c r="H80">
        <v>4.9000000000000004</v>
      </c>
      <c r="I80">
        <v>1</v>
      </c>
      <c r="J80" t="s">
        <v>286</v>
      </c>
      <c r="K80" t="s">
        <v>163</v>
      </c>
    </row>
    <row r="81" spans="1:11" x14ac:dyDescent="0.25">
      <c r="A81">
        <v>622</v>
      </c>
      <c r="B81" t="s">
        <v>85</v>
      </c>
      <c r="C81" t="s">
        <v>87</v>
      </c>
      <c r="D81" t="s">
        <v>335</v>
      </c>
      <c r="E81" t="s">
        <v>224</v>
      </c>
      <c r="F81" t="s">
        <v>225</v>
      </c>
      <c r="G81">
        <v>3</v>
      </c>
      <c r="H81">
        <v>4.9000000000000004</v>
      </c>
      <c r="I81">
        <v>1</v>
      </c>
      <c r="J81" t="s">
        <v>286</v>
      </c>
      <c r="K81" t="s">
        <v>163</v>
      </c>
    </row>
    <row r="82" spans="1:11" x14ac:dyDescent="0.25">
      <c r="A82">
        <v>316</v>
      </c>
      <c r="B82" t="s">
        <v>75</v>
      </c>
      <c r="C82" t="s">
        <v>77</v>
      </c>
      <c r="D82" t="s">
        <v>336</v>
      </c>
      <c r="E82" t="s">
        <v>222</v>
      </c>
      <c r="F82" t="s">
        <v>223</v>
      </c>
      <c r="G82">
        <v>3</v>
      </c>
      <c r="H82">
        <v>5.9</v>
      </c>
      <c r="I82">
        <v>1</v>
      </c>
      <c r="J82" t="s">
        <v>286</v>
      </c>
      <c r="K82" t="s">
        <v>163</v>
      </c>
    </row>
    <row r="83" spans="1:11" x14ac:dyDescent="0.25">
      <c r="A83">
        <v>362</v>
      </c>
      <c r="B83" t="s">
        <v>109</v>
      </c>
      <c r="C83" t="s">
        <v>110</v>
      </c>
      <c r="D83" t="s">
        <v>336</v>
      </c>
      <c r="E83" t="s">
        <v>222</v>
      </c>
      <c r="F83" t="s">
        <v>223</v>
      </c>
      <c r="G83">
        <v>3</v>
      </c>
      <c r="H83">
        <v>5.9</v>
      </c>
      <c r="I83">
        <v>1</v>
      </c>
      <c r="J83" t="s">
        <v>286</v>
      </c>
      <c r="K83" t="s">
        <v>163</v>
      </c>
    </row>
    <row r="84" spans="1:11" x14ac:dyDescent="0.25">
      <c r="A84">
        <v>460</v>
      </c>
      <c r="B84" t="s">
        <v>78</v>
      </c>
      <c r="C84" t="s">
        <v>79</v>
      </c>
      <c r="D84" t="s">
        <v>336</v>
      </c>
      <c r="E84" t="s">
        <v>222</v>
      </c>
      <c r="F84" t="s">
        <v>223</v>
      </c>
      <c r="G84">
        <v>3</v>
      </c>
      <c r="H84">
        <v>5.9</v>
      </c>
      <c r="I84">
        <v>1</v>
      </c>
      <c r="J84" t="s">
        <v>286</v>
      </c>
      <c r="K84" t="s">
        <v>163</v>
      </c>
    </row>
    <row r="85" spans="1:11" x14ac:dyDescent="0.25">
      <c r="A85">
        <v>588</v>
      </c>
      <c r="B85" t="s">
        <v>305</v>
      </c>
      <c r="C85" t="s">
        <v>306</v>
      </c>
      <c r="D85" t="s">
        <v>336</v>
      </c>
      <c r="E85" t="s">
        <v>222</v>
      </c>
      <c r="F85" t="s">
        <v>223</v>
      </c>
      <c r="G85">
        <v>3</v>
      </c>
      <c r="H85">
        <v>5.9</v>
      </c>
      <c r="I85">
        <v>1</v>
      </c>
      <c r="J85" t="s">
        <v>286</v>
      </c>
      <c r="K85" t="s">
        <v>163</v>
      </c>
    </row>
    <row r="86" spans="1:11" x14ac:dyDescent="0.25">
      <c r="A86">
        <v>139</v>
      </c>
      <c r="B86" t="s">
        <v>53</v>
      </c>
      <c r="C86" t="s">
        <v>55</v>
      </c>
      <c r="D86" t="s">
        <v>337</v>
      </c>
      <c r="E86" t="s">
        <v>197</v>
      </c>
      <c r="F86" t="s">
        <v>199</v>
      </c>
      <c r="G86">
        <v>3</v>
      </c>
      <c r="H86">
        <v>6.45</v>
      </c>
      <c r="I86">
        <v>1</v>
      </c>
      <c r="J86" t="s">
        <v>286</v>
      </c>
      <c r="K86" t="s">
        <v>153</v>
      </c>
    </row>
    <row r="87" spans="1:11" x14ac:dyDescent="0.25">
      <c r="A87">
        <v>278</v>
      </c>
      <c r="B87" t="s">
        <v>291</v>
      </c>
      <c r="C87" t="s">
        <v>292</v>
      </c>
      <c r="D87" t="s">
        <v>337</v>
      </c>
      <c r="E87" t="s">
        <v>197</v>
      </c>
      <c r="F87" t="s">
        <v>199</v>
      </c>
      <c r="G87">
        <v>3</v>
      </c>
      <c r="H87">
        <v>6.45</v>
      </c>
      <c r="I87">
        <v>1</v>
      </c>
      <c r="J87" t="s">
        <v>286</v>
      </c>
      <c r="K87" t="s">
        <v>153</v>
      </c>
    </row>
    <row r="88" spans="1:11" x14ac:dyDescent="0.25">
      <c r="A88">
        <v>322</v>
      </c>
      <c r="B88" t="s">
        <v>293</v>
      </c>
      <c r="C88" t="s">
        <v>294</v>
      </c>
      <c r="D88" t="s">
        <v>337</v>
      </c>
      <c r="E88" t="s">
        <v>197</v>
      </c>
      <c r="F88" t="s">
        <v>199</v>
      </c>
      <c r="G88">
        <v>3</v>
      </c>
      <c r="H88">
        <v>6.45</v>
      </c>
      <c r="I88">
        <v>1</v>
      </c>
      <c r="J88" t="s">
        <v>286</v>
      </c>
      <c r="K88" t="s">
        <v>153</v>
      </c>
    </row>
    <row r="89" spans="1:11" x14ac:dyDescent="0.25">
      <c r="A89">
        <v>371</v>
      </c>
      <c r="B89" t="s">
        <v>295</v>
      </c>
      <c r="C89" t="s">
        <v>296</v>
      </c>
      <c r="D89" t="s">
        <v>337</v>
      </c>
      <c r="E89" t="s">
        <v>197</v>
      </c>
      <c r="F89" t="s">
        <v>199</v>
      </c>
      <c r="G89">
        <v>3</v>
      </c>
      <c r="H89">
        <v>6.45</v>
      </c>
      <c r="I89">
        <v>1</v>
      </c>
      <c r="J89" t="s">
        <v>286</v>
      </c>
      <c r="K89" t="s">
        <v>153</v>
      </c>
    </row>
    <row r="90" spans="1:11" x14ac:dyDescent="0.25">
      <c r="A90">
        <v>388</v>
      </c>
      <c r="B90" t="s">
        <v>125</v>
      </c>
      <c r="C90" t="s">
        <v>126</v>
      </c>
      <c r="D90" t="s">
        <v>337</v>
      </c>
      <c r="E90" t="s">
        <v>197</v>
      </c>
      <c r="F90" t="s">
        <v>199</v>
      </c>
      <c r="G90">
        <v>4</v>
      </c>
      <c r="H90">
        <v>6.45</v>
      </c>
      <c r="I90">
        <v>2</v>
      </c>
      <c r="J90" t="s">
        <v>307</v>
      </c>
      <c r="K90" t="s">
        <v>153</v>
      </c>
    </row>
    <row r="91" spans="1:11" x14ac:dyDescent="0.25">
      <c r="A91">
        <v>419</v>
      </c>
      <c r="B91" t="s">
        <v>298</v>
      </c>
      <c r="C91" t="s">
        <v>299</v>
      </c>
      <c r="D91" t="s">
        <v>337</v>
      </c>
      <c r="E91" t="s">
        <v>197</v>
      </c>
      <c r="F91" t="s">
        <v>199</v>
      </c>
      <c r="G91">
        <v>4</v>
      </c>
      <c r="H91">
        <v>6.45</v>
      </c>
      <c r="I91">
        <v>3</v>
      </c>
      <c r="J91" t="s">
        <v>304</v>
      </c>
      <c r="K91" t="s">
        <v>153</v>
      </c>
    </row>
    <row r="92" spans="1:11" x14ac:dyDescent="0.25">
      <c r="A92">
        <v>436</v>
      </c>
      <c r="B92" t="s">
        <v>78</v>
      </c>
      <c r="C92" t="s">
        <v>79</v>
      </c>
      <c r="D92" t="s">
        <v>337</v>
      </c>
      <c r="E92" t="s">
        <v>197</v>
      </c>
      <c r="F92" t="s">
        <v>199</v>
      </c>
      <c r="G92">
        <v>3</v>
      </c>
      <c r="H92">
        <v>6.45</v>
      </c>
      <c r="I92">
        <v>1</v>
      </c>
      <c r="J92" t="s">
        <v>286</v>
      </c>
      <c r="K92" t="s">
        <v>153</v>
      </c>
    </row>
    <row r="93" spans="1:11" x14ac:dyDescent="0.25">
      <c r="A93">
        <v>466</v>
      </c>
      <c r="B93" t="s">
        <v>300</v>
      </c>
      <c r="C93" t="s">
        <v>301</v>
      </c>
      <c r="D93" t="s">
        <v>337</v>
      </c>
      <c r="E93" t="s">
        <v>197</v>
      </c>
      <c r="F93" t="s">
        <v>199</v>
      </c>
      <c r="G93">
        <v>4</v>
      </c>
      <c r="H93">
        <v>6.45</v>
      </c>
      <c r="I93">
        <v>3</v>
      </c>
      <c r="J93" t="s">
        <v>304</v>
      </c>
      <c r="K93" t="s">
        <v>153</v>
      </c>
    </row>
    <row r="94" spans="1:11" x14ac:dyDescent="0.25">
      <c r="A94">
        <v>484</v>
      </c>
      <c r="B94" t="s">
        <v>114</v>
      </c>
      <c r="C94" t="s">
        <v>116</v>
      </c>
      <c r="D94" t="s">
        <v>337</v>
      </c>
      <c r="E94" t="s">
        <v>197</v>
      </c>
      <c r="F94" t="s">
        <v>199</v>
      </c>
      <c r="G94">
        <v>3</v>
      </c>
      <c r="H94">
        <v>6.45</v>
      </c>
      <c r="I94">
        <v>1</v>
      </c>
      <c r="J94" t="s">
        <v>286</v>
      </c>
      <c r="K94" t="s">
        <v>153</v>
      </c>
    </row>
    <row r="95" spans="1:11" x14ac:dyDescent="0.25">
      <c r="A95">
        <v>514</v>
      </c>
      <c r="B95" t="s">
        <v>302</v>
      </c>
      <c r="C95" t="s">
        <v>303</v>
      </c>
      <c r="D95" t="s">
        <v>337</v>
      </c>
      <c r="E95" t="s">
        <v>197</v>
      </c>
      <c r="F95" t="s">
        <v>199</v>
      </c>
      <c r="G95">
        <v>5</v>
      </c>
      <c r="H95">
        <v>6.45</v>
      </c>
      <c r="I95">
        <v>3</v>
      </c>
      <c r="J95" t="s">
        <v>304</v>
      </c>
      <c r="K95" t="s">
        <v>153</v>
      </c>
    </row>
    <row r="96" spans="1:11" x14ac:dyDescent="0.25">
      <c r="A96">
        <v>539</v>
      </c>
      <c r="B96" t="s">
        <v>81</v>
      </c>
      <c r="C96" t="s">
        <v>83</v>
      </c>
      <c r="D96" t="s">
        <v>337</v>
      </c>
      <c r="E96" t="s">
        <v>197</v>
      </c>
      <c r="F96" t="s">
        <v>199</v>
      </c>
      <c r="G96">
        <v>3</v>
      </c>
      <c r="H96">
        <v>6.45</v>
      </c>
      <c r="I96">
        <v>1</v>
      </c>
      <c r="J96" t="s">
        <v>286</v>
      </c>
      <c r="K96" t="s">
        <v>153</v>
      </c>
    </row>
    <row r="97" spans="1:11" x14ac:dyDescent="0.25">
      <c r="A97">
        <v>571</v>
      </c>
      <c r="B97" t="s">
        <v>305</v>
      </c>
      <c r="C97" t="s">
        <v>306</v>
      </c>
      <c r="D97" t="s">
        <v>337</v>
      </c>
      <c r="E97" t="s">
        <v>197</v>
      </c>
      <c r="F97" t="s">
        <v>199</v>
      </c>
      <c r="G97">
        <v>4</v>
      </c>
      <c r="H97">
        <v>6.45</v>
      </c>
      <c r="I97">
        <v>2</v>
      </c>
      <c r="J97" t="s">
        <v>307</v>
      </c>
      <c r="K97" t="s">
        <v>153</v>
      </c>
    </row>
    <row r="98" spans="1:11" x14ac:dyDescent="0.25">
      <c r="A98">
        <v>595</v>
      </c>
      <c r="B98" t="s">
        <v>85</v>
      </c>
      <c r="C98" t="s">
        <v>87</v>
      </c>
      <c r="D98" t="s">
        <v>337</v>
      </c>
      <c r="E98" t="s">
        <v>197</v>
      </c>
      <c r="F98" t="s">
        <v>199</v>
      </c>
      <c r="G98">
        <v>4</v>
      </c>
      <c r="H98">
        <v>6.45</v>
      </c>
      <c r="I98">
        <v>2</v>
      </c>
      <c r="J98" t="s">
        <v>307</v>
      </c>
      <c r="K98" t="s">
        <v>153</v>
      </c>
    </row>
    <row r="99" spans="1:11" x14ac:dyDescent="0.25">
      <c r="A99">
        <v>170</v>
      </c>
      <c r="B99" t="s">
        <v>63</v>
      </c>
      <c r="C99" t="s">
        <v>65</v>
      </c>
      <c r="D99" t="s">
        <v>338</v>
      </c>
      <c r="E99" t="s">
        <v>183</v>
      </c>
      <c r="F99" t="s">
        <v>184</v>
      </c>
      <c r="G99">
        <v>3</v>
      </c>
      <c r="H99">
        <v>7</v>
      </c>
      <c r="I99">
        <v>1</v>
      </c>
      <c r="J99" t="s">
        <v>286</v>
      </c>
      <c r="K99" t="s">
        <v>163</v>
      </c>
    </row>
    <row r="100" spans="1:11" x14ac:dyDescent="0.25">
      <c r="A100">
        <v>194</v>
      </c>
      <c r="B100" t="s">
        <v>72</v>
      </c>
      <c r="C100" t="s">
        <v>73</v>
      </c>
      <c r="D100" t="s">
        <v>338</v>
      </c>
      <c r="E100" t="s">
        <v>183</v>
      </c>
      <c r="F100" t="s">
        <v>184</v>
      </c>
      <c r="G100">
        <v>3</v>
      </c>
      <c r="H100">
        <v>7</v>
      </c>
      <c r="I100">
        <v>1</v>
      </c>
      <c r="J100" t="s">
        <v>286</v>
      </c>
      <c r="K100" t="s">
        <v>163</v>
      </c>
    </row>
    <row r="101" spans="1:11" x14ac:dyDescent="0.25">
      <c r="A101">
        <v>434</v>
      </c>
      <c r="B101" t="s">
        <v>78</v>
      </c>
      <c r="C101" t="s">
        <v>79</v>
      </c>
      <c r="D101" t="s">
        <v>338</v>
      </c>
      <c r="E101" t="s">
        <v>183</v>
      </c>
      <c r="F101" t="s">
        <v>184</v>
      </c>
      <c r="G101">
        <v>3</v>
      </c>
      <c r="H101">
        <v>7</v>
      </c>
      <c r="I101">
        <v>1</v>
      </c>
      <c r="J101" t="s">
        <v>286</v>
      </c>
      <c r="K101" t="s">
        <v>163</v>
      </c>
    </row>
    <row r="102" spans="1:11" x14ac:dyDescent="0.25">
      <c r="A102">
        <v>482</v>
      </c>
      <c r="B102" t="s">
        <v>114</v>
      </c>
      <c r="C102" t="s">
        <v>116</v>
      </c>
      <c r="D102" t="s">
        <v>338</v>
      </c>
      <c r="E102" t="s">
        <v>183</v>
      </c>
      <c r="F102" t="s">
        <v>184</v>
      </c>
      <c r="G102">
        <v>4</v>
      </c>
      <c r="H102">
        <v>7</v>
      </c>
      <c r="I102">
        <v>2</v>
      </c>
      <c r="J102" t="s">
        <v>307</v>
      </c>
      <c r="K102" t="s">
        <v>163</v>
      </c>
    </row>
    <row r="103" spans="1:11" x14ac:dyDescent="0.25">
      <c r="A103">
        <v>346</v>
      </c>
      <c r="B103" t="s">
        <v>109</v>
      </c>
      <c r="C103" t="s">
        <v>110</v>
      </c>
      <c r="D103" t="s">
        <v>339</v>
      </c>
      <c r="E103" t="s">
        <v>202</v>
      </c>
      <c r="F103" t="s">
        <v>203</v>
      </c>
      <c r="G103">
        <v>3</v>
      </c>
      <c r="H103">
        <v>2.4</v>
      </c>
      <c r="I103">
        <v>1</v>
      </c>
      <c r="J103" t="s">
        <v>286</v>
      </c>
      <c r="K103" t="s">
        <v>146</v>
      </c>
    </row>
    <row r="104" spans="1:11" x14ac:dyDescent="0.25">
      <c r="A104">
        <v>393</v>
      </c>
      <c r="B104" t="s">
        <v>125</v>
      </c>
      <c r="C104" t="s">
        <v>126</v>
      </c>
      <c r="D104" t="s">
        <v>339</v>
      </c>
      <c r="E104" t="s">
        <v>202</v>
      </c>
      <c r="F104" t="s">
        <v>203</v>
      </c>
      <c r="G104">
        <v>4</v>
      </c>
      <c r="H104">
        <v>2.4</v>
      </c>
      <c r="I104">
        <v>2</v>
      </c>
      <c r="J104" t="s">
        <v>307</v>
      </c>
      <c r="K104" t="s">
        <v>146</v>
      </c>
    </row>
    <row r="105" spans="1:11" x14ac:dyDescent="0.25">
      <c r="A105">
        <v>493</v>
      </c>
      <c r="B105" t="s">
        <v>114</v>
      </c>
      <c r="C105" t="s">
        <v>116</v>
      </c>
      <c r="D105" t="s">
        <v>339</v>
      </c>
      <c r="E105" t="s">
        <v>202</v>
      </c>
      <c r="F105" t="s">
        <v>203</v>
      </c>
      <c r="G105">
        <v>3</v>
      </c>
      <c r="H105">
        <v>2.4</v>
      </c>
      <c r="I105">
        <v>1</v>
      </c>
      <c r="J105" t="s">
        <v>286</v>
      </c>
      <c r="K105" t="s">
        <v>146</v>
      </c>
    </row>
    <row r="106" spans="1:11" x14ac:dyDescent="0.25">
      <c r="A106">
        <v>521</v>
      </c>
      <c r="B106" t="s">
        <v>302</v>
      </c>
      <c r="C106" t="s">
        <v>303</v>
      </c>
      <c r="D106" t="s">
        <v>339</v>
      </c>
      <c r="E106" t="s">
        <v>202</v>
      </c>
      <c r="F106" t="s">
        <v>203</v>
      </c>
      <c r="G106">
        <v>3</v>
      </c>
      <c r="H106">
        <v>2.4</v>
      </c>
      <c r="I106">
        <v>1</v>
      </c>
      <c r="J106" t="s">
        <v>286</v>
      </c>
      <c r="K106" t="s">
        <v>146</v>
      </c>
    </row>
    <row r="107" spans="1:11" x14ac:dyDescent="0.25">
      <c r="A107">
        <v>603</v>
      </c>
      <c r="B107" t="s">
        <v>85</v>
      </c>
      <c r="C107" t="s">
        <v>87</v>
      </c>
      <c r="D107" t="s">
        <v>339</v>
      </c>
      <c r="E107" t="s">
        <v>202</v>
      </c>
      <c r="F107" t="s">
        <v>203</v>
      </c>
      <c r="G107">
        <v>3</v>
      </c>
      <c r="H107">
        <v>2.4</v>
      </c>
      <c r="I107">
        <v>1</v>
      </c>
      <c r="J107" t="s">
        <v>286</v>
      </c>
      <c r="K107" t="s">
        <v>146</v>
      </c>
    </row>
    <row r="108" spans="1:11" x14ac:dyDescent="0.25">
      <c r="A108">
        <v>19</v>
      </c>
      <c r="B108" t="s">
        <v>141</v>
      </c>
      <c r="C108" t="s">
        <v>142</v>
      </c>
      <c r="D108" t="s">
        <v>340</v>
      </c>
      <c r="E108" t="s">
        <v>209</v>
      </c>
      <c r="F108" t="s">
        <v>210</v>
      </c>
      <c r="G108">
        <v>1</v>
      </c>
      <c r="H108">
        <v>8.1</v>
      </c>
      <c r="I108">
        <v>2</v>
      </c>
      <c r="J108" t="s">
        <v>307</v>
      </c>
      <c r="K108" t="s">
        <v>163</v>
      </c>
    </row>
    <row r="109" spans="1:11" x14ac:dyDescent="0.25">
      <c r="A109">
        <v>226</v>
      </c>
      <c r="B109" t="s">
        <v>107</v>
      </c>
      <c r="C109" t="s">
        <v>108</v>
      </c>
      <c r="D109" t="s">
        <v>340</v>
      </c>
      <c r="E109" t="s">
        <v>209</v>
      </c>
      <c r="F109" t="s">
        <v>210</v>
      </c>
      <c r="G109">
        <v>3</v>
      </c>
      <c r="H109">
        <v>8.1</v>
      </c>
      <c r="I109">
        <v>1</v>
      </c>
      <c r="J109" t="s">
        <v>286</v>
      </c>
      <c r="K109" t="s">
        <v>163</v>
      </c>
    </row>
    <row r="110" spans="1:11" x14ac:dyDescent="0.25">
      <c r="A110">
        <v>546</v>
      </c>
      <c r="B110" t="s">
        <v>81</v>
      </c>
      <c r="C110" t="s">
        <v>83</v>
      </c>
      <c r="D110" t="s">
        <v>340</v>
      </c>
      <c r="E110" t="s">
        <v>209</v>
      </c>
      <c r="F110" t="s">
        <v>210</v>
      </c>
      <c r="G110">
        <v>3</v>
      </c>
      <c r="H110">
        <v>8.1</v>
      </c>
      <c r="I110">
        <v>1</v>
      </c>
      <c r="J110" t="s">
        <v>286</v>
      </c>
      <c r="K110" t="s">
        <v>163</v>
      </c>
    </row>
    <row r="111" spans="1:11" x14ac:dyDescent="0.25">
      <c r="A111">
        <v>262</v>
      </c>
      <c r="B111" t="s">
        <v>98</v>
      </c>
      <c r="C111" t="s">
        <v>100</v>
      </c>
      <c r="D111" t="s">
        <v>341</v>
      </c>
      <c r="E111" t="s">
        <v>123</v>
      </c>
      <c r="F111" t="s">
        <v>124</v>
      </c>
      <c r="G111">
        <v>3</v>
      </c>
      <c r="H111">
        <v>10</v>
      </c>
      <c r="I111">
        <v>1</v>
      </c>
      <c r="J111" t="s">
        <v>286</v>
      </c>
      <c r="K111" t="s">
        <v>36</v>
      </c>
    </row>
    <row r="112" spans="1:11" x14ac:dyDescent="0.25">
      <c r="A112">
        <v>445</v>
      </c>
      <c r="B112" t="s">
        <v>78</v>
      </c>
      <c r="C112" t="s">
        <v>79</v>
      </c>
      <c r="D112" t="s">
        <v>341</v>
      </c>
      <c r="E112" t="s">
        <v>123</v>
      </c>
      <c r="F112" t="s">
        <v>124</v>
      </c>
      <c r="G112">
        <v>3</v>
      </c>
      <c r="H112">
        <v>10</v>
      </c>
      <c r="I112">
        <v>1</v>
      </c>
      <c r="J112" t="s">
        <v>286</v>
      </c>
      <c r="K112" t="s">
        <v>36</v>
      </c>
    </row>
    <row r="113" spans="1:11" x14ac:dyDescent="0.25">
      <c r="A113">
        <v>498</v>
      </c>
      <c r="B113" t="s">
        <v>114</v>
      </c>
      <c r="C113" t="s">
        <v>116</v>
      </c>
      <c r="D113" t="s">
        <v>341</v>
      </c>
      <c r="E113" t="s">
        <v>123</v>
      </c>
      <c r="F113" t="s">
        <v>124</v>
      </c>
      <c r="G113">
        <v>4</v>
      </c>
      <c r="H113">
        <v>10</v>
      </c>
      <c r="I113">
        <v>2</v>
      </c>
      <c r="J113" t="s">
        <v>307</v>
      </c>
      <c r="K113" t="s">
        <v>36</v>
      </c>
    </row>
    <row r="114" spans="1:11" x14ac:dyDescent="0.25">
      <c r="A114">
        <v>34</v>
      </c>
      <c r="B114" t="s">
        <v>143</v>
      </c>
      <c r="C114" t="s">
        <v>144</v>
      </c>
      <c r="D114" t="s">
        <v>342</v>
      </c>
      <c r="E114" t="s">
        <v>211</v>
      </c>
      <c r="F114" t="s">
        <v>213</v>
      </c>
      <c r="G114">
        <v>1</v>
      </c>
      <c r="H114">
        <v>7.2</v>
      </c>
      <c r="I114">
        <v>2</v>
      </c>
      <c r="J114" t="s">
        <v>307</v>
      </c>
      <c r="K114" t="s">
        <v>153</v>
      </c>
    </row>
    <row r="115" spans="1:11" x14ac:dyDescent="0.25">
      <c r="A115">
        <v>248</v>
      </c>
      <c r="B115" t="s">
        <v>308</v>
      </c>
      <c r="C115" t="s">
        <v>309</v>
      </c>
      <c r="D115" t="s">
        <v>343</v>
      </c>
      <c r="E115" t="s">
        <v>195</v>
      </c>
      <c r="F115" t="s">
        <v>196</v>
      </c>
      <c r="G115">
        <v>3</v>
      </c>
      <c r="H115">
        <v>8.0500000000000007</v>
      </c>
      <c r="I115">
        <v>1</v>
      </c>
      <c r="J115" t="s">
        <v>286</v>
      </c>
      <c r="K115" t="s">
        <v>153</v>
      </c>
    </row>
    <row r="116" spans="1:11" x14ac:dyDescent="0.25">
      <c r="A116">
        <v>285</v>
      </c>
      <c r="B116" t="s">
        <v>291</v>
      </c>
      <c r="C116" t="s">
        <v>292</v>
      </c>
      <c r="D116" t="s">
        <v>343</v>
      </c>
      <c r="E116" t="s">
        <v>195</v>
      </c>
      <c r="F116" t="s">
        <v>196</v>
      </c>
      <c r="G116">
        <v>4</v>
      </c>
      <c r="H116">
        <v>8.0500000000000007</v>
      </c>
      <c r="I116">
        <v>3</v>
      </c>
      <c r="J116" t="s">
        <v>304</v>
      </c>
      <c r="K116" t="s">
        <v>153</v>
      </c>
    </row>
    <row r="117" spans="1:11" x14ac:dyDescent="0.25">
      <c r="A117">
        <v>306</v>
      </c>
      <c r="B117" t="s">
        <v>75</v>
      </c>
      <c r="C117" t="s">
        <v>77</v>
      </c>
      <c r="D117" t="s">
        <v>343</v>
      </c>
      <c r="E117" t="s">
        <v>195</v>
      </c>
      <c r="F117" t="s">
        <v>196</v>
      </c>
      <c r="G117">
        <v>3</v>
      </c>
      <c r="H117">
        <v>8.0500000000000007</v>
      </c>
      <c r="I117">
        <v>1</v>
      </c>
      <c r="J117" t="s">
        <v>286</v>
      </c>
      <c r="K117" t="s">
        <v>153</v>
      </c>
    </row>
    <row r="118" spans="1:11" x14ac:dyDescent="0.25">
      <c r="A118">
        <v>330</v>
      </c>
      <c r="B118" t="s">
        <v>293</v>
      </c>
      <c r="C118" t="s">
        <v>294</v>
      </c>
      <c r="D118" t="s">
        <v>343</v>
      </c>
      <c r="E118" t="s">
        <v>195</v>
      </c>
      <c r="F118" t="s">
        <v>196</v>
      </c>
      <c r="G118">
        <v>3</v>
      </c>
      <c r="H118">
        <v>8.0500000000000007</v>
      </c>
      <c r="I118">
        <v>1</v>
      </c>
      <c r="J118" t="s">
        <v>286</v>
      </c>
      <c r="K118" t="s">
        <v>153</v>
      </c>
    </row>
    <row r="119" spans="1:11" x14ac:dyDescent="0.25">
      <c r="A119">
        <v>351</v>
      </c>
      <c r="B119" t="s">
        <v>109</v>
      </c>
      <c r="C119" t="s">
        <v>110</v>
      </c>
      <c r="D119" t="s">
        <v>343</v>
      </c>
      <c r="E119" t="s">
        <v>195</v>
      </c>
      <c r="F119" t="s">
        <v>196</v>
      </c>
      <c r="G119">
        <v>4</v>
      </c>
      <c r="H119">
        <v>8.0500000000000007</v>
      </c>
      <c r="I119">
        <v>2</v>
      </c>
      <c r="J119" t="s">
        <v>307</v>
      </c>
      <c r="K119" t="s">
        <v>153</v>
      </c>
    </row>
    <row r="120" spans="1:11" x14ac:dyDescent="0.25">
      <c r="A120">
        <v>378</v>
      </c>
      <c r="B120" t="s">
        <v>295</v>
      </c>
      <c r="C120" t="s">
        <v>296</v>
      </c>
      <c r="D120" t="s">
        <v>343</v>
      </c>
      <c r="E120" t="s">
        <v>195</v>
      </c>
      <c r="F120" t="s">
        <v>196</v>
      </c>
      <c r="G120">
        <v>3</v>
      </c>
      <c r="H120">
        <v>8.0500000000000007</v>
      </c>
      <c r="I120">
        <v>1</v>
      </c>
      <c r="J120" t="s">
        <v>286</v>
      </c>
      <c r="K120" t="s">
        <v>153</v>
      </c>
    </row>
    <row r="121" spans="1:11" x14ac:dyDescent="0.25">
      <c r="A121">
        <v>401</v>
      </c>
      <c r="B121" t="s">
        <v>125</v>
      </c>
      <c r="C121" t="s">
        <v>126</v>
      </c>
      <c r="D121" t="s">
        <v>343</v>
      </c>
      <c r="E121" t="s">
        <v>195</v>
      </c>
      <c r="F121" t="s">
        <v>196</v>
      </c>
      <c r="G121">
        <v>3</v>
      </c>
      <c r="H121">
        <v>8.0500000000000007</v>
      </c>
      <c r="I121">
        <v>1</v>
      </c>
      <c r="J121" t="s">
        <v>286</v>
      </c>
      <c r="K121" t="s">
        <v>153</v>
      </c>
    </row>
    <row r="122" spans="1:11" x14ac:dyDescent="0.25">
      <c r="A122">
        <v>427</v>
      </c>
      <c r="B122" t="s">
        <v>298</v>
      </c>
      <c r="C122" t="s">
        <v>299</v>
      </c>
      <c r="D122" t="s">
        <v>343</v>
      </c>
      <c r="E122" t="s">
        <v>195</v>
      </c>
      <c r="F122" t="s">
        <v>196</v>
      </c>
      <c r="G122">
        <v>3</v>
      </c>
      <c r="H122">
        <v>8.0500000000000007</v>
      </c>
      <c r="I122">
        <v>1</v>
      </c>
      <c r="J122" t="s">
        <v>286</v>
      </c>
      <c r="K122" t="s">
        <v>153</v>
      </c>
    </row>
    <row r="123" spans="1:11" x14ac:dyDescent="0.25">
      <c r="A123">
        <v>449</v>
      </c>
      <c r="B123" t="s">
        <v>78</v>
      </c>
      <c r="C123" t="s">
        <v>79</v>
      </c>
      <c r="D123" t="s">
        <v>343</v>
      </c>
      <c r="E123" t="s">
        <v>195</v>
      </c>
      <c r="F123" t="s">
        <v>196</v>
      </c>
      <c r="G123">
        <v>4</v>
      </c>
      <c r="H123">
        <v>8.0500000000000007</v>
      </c>
      <c r="I123">
        <v>2</v>
      </c>
      <c r="J123" t="s">
        <v>307</v>
      </c>
      <c r="K123" t="s">
        <v>153</v>
      </c>
    </row>
    <row r="124" spans="1:11" x14ac:dyDescent="0.25">
      <c r="A124">
        <v>474</v>
      </c>
      <c r="B124" t="s">
        <v>300</v>
      </c>
      <c r="C124" t="s">
        <v>301</v>
      </c>
      <c r="D124" t="s">
        <v>343</v>
      </c>
      <c r="E124" t="s">
        <v>195</v>
      </c>
      <c r="F124" t="s">
        <v>196</v>
      </c>
      <c r="G124">
        <v>6</v>
      </c>
      <c r="H124">
        <v>8.0500000000000007</v>
      </c>
      <c r="I124">
        <v>5</v>
      </c>
      <c r="J124" t="s">
        <v>311</v>
      </c>
      <c r="K124" t="s">
        <v>153</v>
      </c>
    </row>
    <row r="125" spans="1:11" x14ac:dyDescent="0.25">
      <c r="A125">
        <v>503</v>
      </c>
      <c r="B125" t="s">
        <v>114</v>
      </c>
      <c r="C125" t="s">
        <v>116</v>
      </c>
      <c r="D125" t="s">
        <v>343</v>
      </c>
      <c r="E125" t="s">
        <v>195</v>
      </c>
      <c r="F125" t="s">
        <v>196</v>
      </c>
      <c r="G125">
        <v>3</v>
      </c>
      <c r="H125">
        <v>8.0500000000000007</v>
      </c>
      <c r="I125">
        <v>1</v>
      </c>
      <c r="J125" t="s">
        <v>286</v>
      </c>
      <c r="K125" t="s">
        <v>153</v>
      </c>
    </row>
    <row r="126" spans="1:11" x14ac:dyDescent="0.25">
      <c r="A126">
        <v>526</v>
      </c>
      <c r="B126" t="s">
        <v>302</v>
      </c>
      <c r="C126" t="s">
        <v>303</v>
      </c>
      <c r="D126" t="s">
        <v>343</v>
      </c>
      <c r="E126" t="s">
        <v>195</v>
      </c>
      <c r="F126" t="s">
        <v>196</v>
      </c>
      <c r="G126">
        <v>7</v>
      </c>
      <c r="H126">
        <v>8.0500000000000007</v>
      </c>
      <c r="I126">
        <v>5</v>
      </c>
      <c r="J126" t="s">
        <v>311</v>
      </c>
      <c r="K126" t="s">
        <v>153</v>
      </c>
    </row>
    <row r="127" spans="1:11" x14ac:dyDescent="0.25">
      <c r="A127">
        <v>552</v>
      </c>
      <c r="B127" t="s">
        <v>81</v>
      </c>
      <c r="C127" t="s">
        <v>83</v>
      </c>
      <c r="D127" t="s">
        <v>343</v>
      </c>
      <c r="E127" t="s">
        <v>195</v>
      </c>
      <c r="F127" t="s">
        <v>196</v>
      </c>
      <c r="G127">
        <v>4</v>
      </c>
      <c r="H127">
        <v>8.0500000000000007</v>
      </c>
      <c r="I127">
        <v>2</v>
      </c>
      <c r="J127" t="s">
        <v>307</v>
      </c>
      <c r="K127" t="s">
        <v>153</v>
      </c>
    </row>
    <row r="128" spans="1:11" x14ac:dyDescent="0.25">
      <c r="A128">
        <v>582</v>
      </c>
      <c r="B128" t="s">
        <v>305</v>
      </c>
      <c r="C128" t="s">
        <v>306</v>
      </c>
      <c r="D128" t="s">
        <v>343</v>
      </c>
      <c r="E128" t="s">
        <v>195</v>
      </c>
      <c r="F128" t="s">
        <v>196</v>
      </c>
      <c r="G128">
        <v>4</v>
      </c>
      <c r="H128">
        <v>8.0500000000000007</v>
      </c>
      <c r="I128">
        <v>2</v>
      </c>
      <c r="J128" t="s">
        <v>307</v>
      </c>
      <c r="K128" t="s">
        <v>153</v>
      </c>
    </row>
    <row r="129" spans="1:11" x14ac:dyDescent="0.25">
      <c r="A129">
        <v>609</v>
      </c>
      <c r="B129" t="s">
        <v>85</v>
      </c>
      <c r="C129" t="s">
        <v>87</v>
      </c>
      <c r="D129" t="s">
        <v>343</v>
      </c>
      <c r="E129" t="s">
        <v>195</v>
      </c>
      <c r="F129" t="s">
        <v>196</v>
      </c>
      <c r="G129">
        <v>4</v>
      </c>
      <c r="H129">
        <v>8.0500000000000007</v>
      </c>
      <c r="I129">
        <v>2</v>
      </c>
      <c r="J129" t="s">
        <v>307</v>
      </c>
      <c r="K129" t="s">
        <v>153</v>
      </c>
    </row>
    <row r="130" spans="1:11" x14ac:dyDescent="0.25">
      <c r="A130">
        <v>250</v>
      </c>
      <c r="B130" t="s">
        <v>308</v>
      </c>
      <c r="C130" t="s">
        <v>309</v>
      </c>
      <c r="D130" t="s">
        <v>344</v>
      </c>
      <c r="E130" t="s">
        <v>193</v>
      </c>
      <c r="F130" t="s">
        <v>194</v>
      </c>
      <c r="G130">
        <v>3</v>
      </c>
      <c r="H130">
        <v>9.1999999999999993</v>
      </c>
      <c r="I130">
        <v>1</v>
      </c>
      <c r="J130" t="s">
        <v>286</v>
      </c>
      <c r="K130" t="s">
        <v>163</v>
      </c>
    </row>
    <row r="131" spans="1:11" x14ac:dyDescent="0.25">
      <c r="A131">
        <v>267</v>
      </c>
      <c r="B131" t="s">
        <v>98</v>
      </c>
      <c r="C131" t="s">
        <v>100</v>
      </c>
      <c r="D131" t="s">
        <v>344</v>
      </c>
      <c r="E131" t="s">
        <v>193</v>
      </c>
      <c r="F131" t="s">
        <v>194</v>
      </c>
      <c r="G131">
        <v>4</v>
      </c>
      <c r="H131">
        <v>9.1</v>
      </c>
      <c r="I131">
        <v>2</v>
      </c>
      <c r="J131" t="s">
        <v>307</v>
      </c>
      <c r="K131" t="s">
        <v>163</v>
      </c>
    </row>
    <row r="132" spans="1:11" x14ac:dyDescent="0.25">
      <c r="A132">
        <v>286</v>
      </c>
      <c r="B132" t="s">
        <v>291</v>
      </c>
      <c r="C132" t="s">
        <v>292</v>
      </c>
      <c r="D132" t="s">
        <v>344</v>
      </c>
      <c r="E132" t="s">
        <v>193</v>
      </c>
      <c r="F132" t="s">
        <v>194</v>
      </c>
      <c r="G132">
        <v>3</v>
      </c>
      <c r="H132">
        <v>9.1</v>
      </c>
      <c r="I132">
        <v>1</v>
      </c>
      <c r="J132" t="s">
        <v>286</v>
      </c>
      <c r="K132" t="s">
        <v>163</v>
      </c>
    </row>
    <row r="133" spans="1:11" x14ac:dyDescent="0.25">
      <c r="A133">
        <v>310</v>
      </c>
      <c r="B133" t="s">
        <v>75</v>
      </c>
      <c r="C133" t="s">
        <v>77</v>
      </c>
      <c r="D133" t="s">
        <v>344</v>
      </c>
      <c r="E133" t="s">
        <v>193</v>
      </c>
      <c r="F133" t="s">
        <v>194</v>
      </c>
      <c r="G133">
        <v>4</v>
      </c>
      <c r="H133">
        <v>9.1</v>
      </c>
      <c r="I133">
        <v>2</v>
      </c>
      <c r="J133" t="s">
        <v>307</v>
      </c>
      <c r="K133" t="s">
        <v>163</v>
      </c>
    </row>
    <row r="134" spans="1:11" x14ac:dyDescent="0.25">
      <c r="A134">
        <v>332</v>
      </c>
      <c r="B134" t="s">
        <v>293</v>
      </c>
      <c r="C134" t="s">
        <v>294</v>
      </c>
      <c r="D134" t="s">
        <v>344</v>
      </c>
      <c r="E134" t="s">
        <v>193</v>
      </c>
      <c r="F134" t="s">
        <v>194</v>
      </c>
      <c r="G134">
        <v>4</v>
      </c>
      <c r="H134">
        <v>9.1</v>
      </c>
      <c r="I134">
        <v>3</v>
      </c>
      <c r="J134" t="s">
        <v>304</v>
      </c>
      <c r="K134" t="s">
        <v>163</v>
      </c>
    </row>
    <row r="135" spans="1:11" x14ac:dyDescent="0.25">
      <c r="A135">
        <v>353</v>
      </c>
      <c r="B135" t="s">
        <v>109</v>
      </c>
      <c r="C135" t="s">
        <v>110</v>
      </c>
      <c r="D135" t="s">
        <v>344</v>
      </c>
      <c r="E135" t="s">
        <v>193</v>
      </c>
      <c r="F135" t="s">
        <v>194</v>
      </c>
      <c r="G135">
        <v>3</v>
      </c>
      <c r="H135">
        <v>9.1</v>
      </c>
      <c r="I135">
        <v>1</v>
      </c>
      <c r="J135" t="s">
        <v>286</v>
      </c>
      <c r="K135" t="s">
        <v>163</v>
      </c>
    </row>
    <row r="136" spans="1:11" x14ac:dyDescent="0.25">
      <c r="A136">
        <v>379</v>
      </c>
      <c r="B136" t="s">
        <v>295</v>
      </c>
      <c r="C136" t="s">
        <v>296</v>
      </c>
      <c r="D136" t="s">
        <v>344</v>
      </c>
      <c r="E136" t="s">
        <v>193</v>
      </c>
      <c r="F136" t="s">
        <v>194</v>
      </c>
      <c r="G136">
        <v>3</v>
      </c>
      <c r="H136">
        <v>9.1</v>
      </c>
      <c r="I136">
        <v>1</v>
      </c>
      <c r="J136" t="s">
        <v>286</v>
      </c>
      <c r="K136" t="s">
        <v>163</v>
      </c>
    </row>
    <row r="137" spans="1:11" x14ac:dyDescent="0.25">
      <c r="A137">
        <v>429</v>
      </c>
      <c r="B137" t="s">
        <v>298</v>
      </c>
      <c r="C137" t="s">
        <v>299</v>
      </c>
      <c r="D137" t="s">
        <v>344</v>
      </c>
      <c r="E137" t="s">
        <v>193</v>
      </c>
      <c r="F137" t="s">
        <v>194</v>
      </c>
      <c r="G137">
        <v>3</v>
      </c>
      <c r="H137">
        <v>9.1</v>
      </c>
      <c r="I137">
        <v>1</v>
      </c>
      <c r="J137" t="s">
        <v>286</v>
      </c>
      <c r="K137" t="s">
        <v>163</v>
      </c>
    </row>
    <row r="138" spans="1:11" x14ac:dyDescent="0.25">
      <c r="A138">
        <v>453</v>
      </c>
      <c r="B138" t="s">
        <v>78</v>
      </c>
      <c r="C138" t="s">
        <v>79</v>
      </c>
      <c r="D138" t="s">
        <v>344</v>
      </c>
      <c r="E138" t="s">
        <v>193</v>
      </c>
      <c r="F138" t="s">
        <v>194</v>
      </c>
      <c r="G138">
        <v>3</v>
      </c>
      <c r="H138">
        <v>9.1</v>
      </c>
      <c r="I138">
        <v>1</v>
      </c>
      <c r="J138" t="s">
        <v>286</v>
      </c>
      <c r="K138" t="s">
        <v>163</v>
      </c>
    </row>
    <row r="139" spans="1:11" x14ac:dyDescent="0.25">
      <c r="A139">
        <v>477</v>
      </c>
      <c r="B139" t="s">
        <v>300</v>
      </c>
      <c r="C139" t="s">
        <v>301</v>
      </c>
      <c r="D139" t="s">
        <v>344</v>
      </c>
      <c r="E139" t="s">
        <v>193</v>
      </c>
      <c r="F139" t="s">
        <v>194</v>
      </c>
      <c r="G139">
        <v>3</v>
      </c>
      <c r="H139">
        <v>9.1</v>
      </c>
      <c r="I139">
        <v>1</v>
      </c>
      <c r="J139" t="s">
        <v>286</v>
      </c>
      <c r="K139" t="s">
        <v>163</v>
      </c>
    </row>
    <row r="140" spans="1:11" x14ac:dyDescent="0.25">
      <c r="A140">
        <v>506</v>
      </c>
      <c r="B140" t="s">
        <v>114</v>
      </c>
      <c r="C140" t="s">
        <v>116</v>
      </c>
      <c r="D140" t="s">
        <v>344</v>
      </c>
      <c r="E140" t="s">
        <v>193</v>
      </c>
      <c r="F140" t="s">
        <v>194</v>
      </c>
      <c r="G140">
        <v>4</v>
      </c>
      <c r="H140">
        <v>9.1</v>
      </c>
      <c r="I140">
        <v>2</v>
      </c>
      <c r="J140" t="s">
        <v>307</v>
      </c>
      <c r="K140" t="s">
        <v>163</v>
      </c>
    </row>
    <row r="141" spans="1:11" x14ac:dyDescent="0.25">
      <c r="A141">
        <v>530</v>
      </c>
      <c r="B141" t="s">
        <v>302</v>
      </c>
      <c r="C141" t="s">
        <v>303</v>
      </c>
      <c r="D141" t="s">
        <v>344</v>
      </c>
      <c r="E141" t="s">
        <v>193</v>
      </c>
      <c r="F141" t="s">
        <v>194</v>
      </c>
      <c r="G141">
        <v>3</v>
      </c>
      <c r="H141">
        <v>9.1</v>
      </c>
      <c r="I141">
        <v>1</v>
      </c>
      <c r="J141" t="s">
        <v>286</v>
      </c>
      <c r="K141" t="s">
        <v>163</v>
      </c>
    </row>
    <row r="142" spans="1:11" x14ac:dyDescent="0.25">
      <c r="A142">
        <v>555</v>
      </c>
      <c r="B142" t="s">
        <v>81</v>
      </c>
      <c r="C142" t="s">
        <v>83</v>
      </c>
      <c r="D142" t="s">
        <v>344</v>
      </c>
      <c r="E142" t="s">
        <v>193</v>
      </c>
      <c r="F142" t="s">
        <v>194</v>
      </c>
      <c r="G142">
        <v>3</v>
      </c>
      <c r="H142">
        <v>9.1</v>
      </c>
      <c r="I142">
        <v>1</v>
      </c>
      <c r="J142" t="s">
        <v>286</v>
      </c>
      <c r="K142" t="s">
        <v>163</v>
      </c>
    </row>
    <row r="143" spans="1:11" x14ac:dyDescent="0.25">
      <c r="A143">
        <v>585</v>
      </c>
      <c r="B143" t="s">
        <v>305</v>
      </c>
      <c r="C143" t="s">
        <v>306</v>
      </c>
      <c r="D143" t="s">
        <v>344</v>
      </c>
      <c r="E143" t="s">
        <v>193</v>
      </c>
      <c r="F143" t="s">
        <v>194</v>
      </c>
      <c r="G143">
        <v>4</v>
      </c>
      <c r="H143">
        <v>9.1</v>
      </c>
      <c r="I143">
        <v>2</v>
      </c>
      <c r="J143" t="s">
        <v>307</v>
      </c>
      <c r="K143" t="s">
        <v>163</v>
      </c>
    </row>
    <row r="144" spans="1:11" x14ac:dyDescent="0.25">
      <c r="A144">
        <v>40</v>
      </c>
      <c r="B144" t="s">
        <v>143</v>
      </c>
      <c r="C144" t="s">
        <v>144</v>
      </c>
      <c r="D144" t="s">
        <v>345</v>
      </c>
      <c r="E144" t="s">
        <v>97</v>
      </c>
      <c r="F144" t="s">
        <v>99</v>
      </c>
      <c r="G144">
        <v>1</v>
      </c>
      <c r="H144">
        <v>11</v>
      </c>
      <c r="I144">
        <v>2</v>
      </c>
      <c r="J144" t="s">
        <v>307</v>
      </c>
      <c r="K144" t="s">
        <v>36</v>
      </c>
    </row>
    <row r="145" spans="1:11" x14ac:dyDescent="0.25">
      <c r="A145">
        <v>251</v>
      </c>
      <c r="B145" t="s">
        <v>308</v>
      </c>
      <c r="C145" t="s">
        <v>309</v>
      </c>
      <c r="D145" t="s">
        <v>345</v>
      </c>
      <c r="E145" t="s">
        <v>97</v>
      </c>
      <c r="F145" t="s">
        <v>99</v>
      </c>
      <c r="G145">
        <v>6</v>
      </c>
      <c r="H145">
        <v>11</v>
      </c>
      <c r="I145">
        <v>5</v>
      </c>
      <c r="J145" t="s">
        <v>311</v>
      </c>
      <c r="K145" t="s">
        <v>36</v>
      </c>
    </row>
    <row r="146" spans="1:11" x14ac:dyDescent="0.25">
      <c r="A146">
        <v>268</v>
      </c>
      <c r="B146" t="s">
        <v>98</v>
      </c>
      <c r="C146" t="s">
        <v>100</v>
      </c>
      <c r="D146" t="s">
        <v>345</v>
      </c>
      <c r="E146" t="s">
        <v>97</v>
      </c>
      <c r="F146" t="s">
        <v>99</v>
      </c>
      <c r="G146">
        <v>3</v>
      </c>
      <c r="H146">
        <v>11</v>
      </c>
      <c r="I146">
        <v>1</v>
      </c>
      <c r="J146" t="s">
        <v>286</v>
      </c>
      <c r="K146" t="s">
        <v>36</v>
      </c>
    </row>
    <row r="147" spans="1:11" x14ac:dyDescent="0.25">
      <c r="A147">
        <v>287</v>
      </c>
      <c r="B147" t="s">
        <v>291</v>
      </c>
      <c r="C147" t="s">
        <v>292</v>
      </c>
      <c r="D147" t="s">
        <v>345</v>
      </c>
      <c r="E147" t="s">
        <v>97</v>
      </c>
      <c r="F147" t="s">
        <v>99</v>
      </c>
      <c r="G147">
        <v>6</v>
      </c>
      <c r="H147">
        <v>11</v>
      </c>
      <c r="I147">
        <v>5</v>
      </c>
      <c r="J147" t="s">
        <v>311</v>
      </c>
      <c r="K147" t="s">
        <v>36</v>
      </c>
    </row>
    <row r="148" spans="1:11" x14ac:dyDescent="0.25">
      <c r="A148">
        <v>311</v>
      </c>
      <c r="B148" t="s">
        <v>75</v>
      </c>
      <c r="C148" t="s">
        <v>77</v>
      </c>
      <c r="D148" t="s">
        <v>345</v>
      </c>
      <c r="E148" t="s">
        <v>97</v>
      </c>
      <c r="F148" t="s">
        <v>99</v>
      </c>
      <c r="G148">
        <v>4</v>
      </c>
      <c r="H148">
        <v>11</v>
      </c>
      <c r="I148">
        <v>2</v>
      </c>
      <c r="J148" t="s">
        <v>307</v>
      </c>
      <c r="K148" t="s">
        <v>36</v>
      </c>
    </row>
    <row r="149" spans="1:11" x14ac:dyDescent="0.25">
      <c r="A149">
        <v>334</v>
      </c>
      <c r="B149" t="s">
        <v>293</v>
      </c>
      <c r="C149" t="s">
        <v>294</v>
      </c>
      <c r="D149" t="s">
        <v>345</v>
      </c>
      <c r="E149" t="s">
        <v>97</v>
      </c>
      <c r="F149" t="s">
        <v>99</v>
      </c>
      <c r="G149">
        <v>6</v>
      </c>
      <c r="H149">
        <v>11</v>
      </c>
      <c r="I149">
        <v>4</v>
      </c>
      <c r="J149" t="s">
        <v>297</v>
      </c>
      <c r="K149" t="s">
        <v>36</v>
      </c>
    </row>
    <row r="150" spans="1:11" x14ac:dyDescent="0.25">
      <c r="A150">
        <v>381</v>
      </c>
      <c r="B150" t="s">
        <v>295</v>
      </c>
      <c r="C150" t="s">
        <v>296</v>
      </c>
      <c r="D150" t="s">
        <v>345</v>
      </c>
      <c r="E150" t="s">
        <v>97</v>
      </c>
      <c r="F150" t="s">
        <v>99</v>
      </c>
      <c r="G150">
        <v>4</v>
      </c>
      <c r="H150">
        <v>11</v>
      </c>
      <c r="I150">
        <v>3</v>
      </c>
      <c r="J150" t="s">
        <v>304</v>
      </c>
      <c r="K150" t="s">
        <v>36</v>
      </c>
    </row>
    <row r="151" spans="1:11" x14ac:dyDescent="0.25">
      <c r="A151">
        <v>431</v>
      </c>
      <c r="B151" t="s">
        <v>298</v>
      </c>
      <c r="C151" t="s">
        <v>299</v>
      </c>
      <c r="D151" t="s">
        <v>345</v>
      </c>
      <c r="E151" t="s">
        <v>97</v>
      </c>
      <c r="F151" t="s">
        <v>99</v>
      </c>
      <c r="G151">
        <v>6</v>
      </c>
      <c r="H151">
        <v>11</v>
      </c>
      <c r="I151">
        <v>4</v>
      </c>
      <c r="J151" t="s">
        <v>297</v>
      </c>
      <c r="K151" t="s">
        <v>36</v>
      </c>
    </row>
    <row r="152" spans="1:11" x14ac:dyDescent="0.25">
      <c r="A152">
        <v>479</v>
      </c>
      <c r="B152" t="s">
        <v>300</v>
      </c>
      <c r="C152" t="s">
        <v>301</v>
      </c>
      <c r="D152" t="s">
        <v>345</v>
      </c>
      <c r="E152" t="s">
        <v>97</v>
      </c>
      <c r="F152" t="s">
        <v>99</v>
      </c>
      <c r="G152">
        <v>3</v>
      </c>
      <c r="H152">
        <v>11</v>
      </c>
      <c r="I152">
        <v>1</v>
      </c>
      <c r="J152" t="s">
        <v>286</v>
      </c>
      <c r="K152" t="s">
        <v>36</v>
      </c>
    </row>
    <row r="153" spans="1:11" x14ac:dyDescent="0.25">
      <c r="A153">
        <v>531</v>
      </c>
      <c r="B153" t="s">
        <v>302</v>
      </c>
      <c r="C153" t="s">
        <v>303</v>
      </c>
      <c r="D153" t="s">
        <v>345</v>
      </c>
      <c r="E153" t="s">
        <v>97</v>
      </c>
      <c r="F153" t="s">
        <v>99</v>
      </c>
      <c r="G153">
        <v>4</v>
      </c>
      <c r="H153">
        <v>11</v>
      </c>
      <c r="I153">
        <v>2</v>
      </c>
      <c r="J153" t="s">
        <v>307</v>
      </c>
      <c r="K153" t="s">
        <v>36</v>
      </c>
    </row>
    <row r="154" spans="1:11" x14ac:dyDescent="0.25">
      <c r="A154">
        <v>586</v>
      </c>
      <c r="B154" t="s">
        <v>305</v>
      </c>
      <c r="C154" t="s">
        <v>306</v>
      </c>
      <c r="D154" t="s">
        <v>345</v>
      </c>
      <c r="E154" t="s">
        <v>97</v>
      </c>
      <c r="F154" t="s">
        <v>99</v>
      </c>
      <c r="G154">
        <v>5</v>
      </c>
      <c r="H154">
        <v>11</v>
      </c>
      <c r="I154">
        <v>3</v>
      </c>
      <c r="J154" t="s">
        <v>304</v>
      </c>
      <c r="K154" t="s">
        <v>36</v>
      </c>
    </row>
    <row r="155" spans="1:11" x14ac:dyDescent="0.25">
      <c r="A155">
        <v>272</v>
      </c>
      <c r="B155" t="s">
        <v>98</v>
      </c>
      <c r="C155" t="s">
        <v>100</v>
      </c>
      <c r="D155" t="s">
        <v>346</v>
      </c>
      <c r="E155" t="s">
        <v>190</v>
      </c>
      <c r="F155" t="s">
        <v>192</v>
      </c>
      <c r="G155">
        <v>4</v>
      </c>
      <c r="H155">
        <v>8.85</v>
      </c>
      <c r="I155">
        <v>2</v>
      </c>
      <c r="J155" t="s">
        <v>307</v>
      </c>
      <c r="K155" t="s">
        <v>153</v>
      </c>
    </row>
    <row r="156" spans="1:11" x14ac:dyDescent="0.25">
      <c r="A156">
        <v>314</v>
      </c>
      <c r="B156" t="s">
        <v>75</v>
      </c>
      <c r="C156" t="s">
        <v>77</v>
      </c>
      <c r="D156" t="s">
        <v>346</v>
      </c>
      <c r="E156" t="s">
        <v>190</v>
      </c>
      <c r="F156" t="s">
        <v>192</v>
      </c>
      <c r="G156">
        <v>3</v>
      </c>
      <c r="H156">
        <v>8.85</v>
      </c>
      <c r="I156">
        <v>1</v>
      </c>
      <c r="J156" t="s">
        <v>286</v>
      </c>
      <c r="K156" t="s">
        <v>153</v>
      </c>
    </row>
    <row r="157" spans="1:11" x14ac:dyDescent="0.25">
      <c r="A157">
        <v>359</v>
      </c>
      <c r="B157" t="s">
        <v>109</v>
      </c>
      <c r="C157" t="s">
        <v>110</v>
      </c>
      <c r="D157" t="s">
        <v>346</v>
      </c>
      <c r="E157" t="s">
        <v>190</v>
      </c>
      <c r="F157" t="s">
        <v>192</v>
      </c>
      <c r="G157">
        <v>3</v>
      </c>
      <c r="H157">
        <v>8.85</v>
      </c>
      <c r="I157">
        <v>1</v>
      </c>
      <c r="J157" t="s">
        <v>286</v>
      </c>
      <c r="K157" t="s">
        <v>153</v>
      </c>
    </row>
    <row r="158" spans="1:11" x14ac:dyDescent="0.25">
      <c r="A158">
        <v>407</v>
      </c>
      <c r="B158" t="s">
        <v>125</v>
      </c>
      <c r="C158" t="s">
        <v>126</v>
      </c>
      <c r="D158" t="s">
        <v>346</v>
      </c>
      <c r="E158" t="s">
        <v>190</v>
      </c>
      <c r="F158" t="s">
        <v>192</v>
      </c>
      <c r="G158">
        <v>3</v>
      </c>
      <c r="H158">
        <v>8.85</v>
      </c>
      <c r="I158">
        <v>1</v>
      </c>
      <c r="J158" t="s">
        <v>286</v>
      </c>
      <c r="K158" t="s">
        <v>153</v>
      </c>
    </row>
    <row r="159" spans="1:11" x14ac:dyDescent="0.25">
      <c r="A159">
        <v>561</v>
      </c>
      <c r="B159" t="s">
        <v>81</v>
      </c>
      <c r="C159" t="s">
        <v>83</v>
      </c>
      <c r="D159" t="s">
        <v>346</v>
      </c>
      <c r="E159" t="s">
        <v>190</v>
      </c>
      <c r="F159" t="s">
        <v>192</v>
      </c>
      <c r="G159">
        <v>3</v>
      </c>
      <c r="H159">
        <v>8.85</v>
      </c>
      <c r="I159">
        <v>1</v>
      </c>
      <c r="J159" t="s">
        <v>286</v>
      </c>
      <c r="K159" t="s">
        <v>153</v>
      </c>
    </row>
    <row r="160" spans="1:11" x14ac:dyDescent="0.25">
      <c r="A160">
        <v>616</v>
      </c>
      <c r="B160" t="s">
        <v>85</v>
      </c>
      <c r="C160" t="s">
        <v>87</v>
      </c>
      <c r="D160" t="s">
        <v>346</v>
      </c>
      <c r="E160" t="s">
        <v>190</v>
      </c>
      <c r="F160" t="s">
        <v>192</v>
      </c>
      <c r="G160">
        <v>3</v>
      </c>
      <c r="H160">
        <v>8.85</v>
      </c>
      <c r="I160">
        <v>1</v>
      </c>
      <c r="J160" t="s">
        <v>286</v>
      </c>
      <c r="K160" t="s">
        <v>153</v>
      </c>
    </row>
    <row r="161" spans="1:11" x14ac:dyDescent="0.25">
      <c r="A161">
        <v>458</v>
      </c>
      <c r="B161" t="s">
        <v>78</v>
      </c>
      <c r="C161" t="s">
        <v>79</v>
      </c>
      <c r="D161" t="s">
        <v>347</v>
      </c>
      <c r="E161" t="s">
        <v>136</v>
      </c>
      <c r="F161" t="s">
        <v>137</v>
      </c>
      <c r="G161">
        <v>4</v>
      </c>
      <c r="H161">
        <v>12</v>
      </c>
      <c r="I161">
        <v>2</v>
      </c>
      <c r="J161" t="s">
        <v>307</v>
      </c>
      <c r="K161" t="s">
        <v>36</v>
      </c>
    </row>
    <row r="162" spans="1:11" x14ac:dyDescent="0.25">
      <c r="A162">
        <v>28</v>
      </c>
      <c r="B162" t="s">
        <v>141</v>
      </c>
      <c r="C162" t="s">
        <v>142</v>
      </c>
      <c r="D162" t="s">
        <v>348</v>
      </c>
      <c r="E162" t="s">
        <v>103</v>
      </c>
      <c r="F162" t="s">
        <v>104</v>
      </c>
      <c r="G162">
        <v>2</v>
      </c>
      <c r="H162">
        <v>13</v>
      </c>
      <c r="I162">
        <v>3</v>
      </c>
      <c r="J162" t="s">
        <v>349</v>
      </c>
      <c r="K162" t="s">
        <v>36</v>
      </c>
    </row>
    <row r="163" spans="1:11" x14ac:dyDescent="0.25">
      <c r="A163">
        <v>44</v>
      </c>
      <c r="B163" t="s">
        <v>143</v>
      </c>
      <c r="C163" t="s">
        <v>144</v>
      </c>
      <c r="D163" t="s">
        <v>348</v>
      </c>
      <c r="E163" t="s">
        <v>103</v>
      </c>
      <c r="F163" t="s">
        <v>104</v>
      </c>
      <c r="G163">
        <v>3</v>
      </c>
      <c r="H163">
        <v>13</v>
      </c>
      <c r="I163">
        <v>3</v>
      </c>
      <c r="J163" t="s">
        <v>349</v>
      </c>
      <c r="K163" t="s">
        <v>36</v>
      </c>
    </row>
    <row r="164" spans="1:11" x14ac:dyDescent="0.25">
      <c r="A164">
        <v>54</v>
      </c>
      <c r="B164" t="s">
        <v>266</v>
      </c>
      <c r="C164" t="s">
        <v>267</v>
      </c>
      <c r="D164" t="s">
        <v>348</v>
      </c>
      <c r="E164" t="s">
        <v>103</v>
      </c>
      <c r="F164" t="s">
        <v>104</v>
      </c>
      <c r="G164">
        <v>3</v>
      </c>
      <c r="H164">
        <v>13</v>
      </c>
      <c r="I164">
        <v>1</v>
      </c>
      <c r="J164" t="s">
        <v>286</v>
      </c>
      <c r="K164" t="s">
        <v>36</v>
      </c>
    </row>
    <row r="165" spans="1:11" x14ac:dyDescent="0.25">
      <c r="A165">
        <v>69</v>
      </c>
      <c r="B165" t="s">
        <v>268</v>
      </c>
      <c r="C165" t="s">
        <v>269</v>
      </c>
      <c r="D165" t="s">
        <v>348</v>
      </c>
      <c r="E165" t="s">
        <v>103</v>
      </c>
      <c r="F165" t="s">
        <v>104</v>
      </c>
      <c r="G165">
        <v>4</v>
      </c>
      <c r="H165">
        <v>13</v>
      </c>
      <c r="I165">
        <v>3</v>
      </c>
      <c r="J165" t="s">
        <v>349</v>
      </c>
      <c r="K165" t="s">
        <v>36</v>
      </c>
    </row>
    <row r="166" spans="1:11" x14ac:dyDescent="0.25">
      <c r="A166">
        <v>102</v>
      </c>
      <c r="B166" t="s">
        <v>89</v>
      </c>
      <c r="C166" t="s">
        <v>90</v>
      </c>
      <c r="D166" t="s">
        <v>348</v>
      </c>
      <c r="E166" t="s">
        <v>103</v>
      </c>
      <c r="F166" t="s">
        <v>104</v>
      </c>
      <c r="G166">
        <v>3</v>
      </c>
      <c r="H166">
        <v>13</v>
      </c>
      <c r="I166">
        <v>1</v>
      </c>
      <c r="J166" t="s">
        <v>286</v>
      </c>
      <c r="K166" t="s">
        <v>36</v>
      </c>
    </row>
    <row r="167" spans="1:11" x14ac:dyDescent="0.25">
      <c r="A167">
        <v>119</v>
      </c>
      <c r="B167" t="s">
        <v>43</v>
      </c>
      <c r="C167" t="s">
        <v>45</v>
      </c>
      <c r="D167" t="s">
        <v>348</v>
      </c>
      <c r="E167" t="s">
        <v>103</v>
      </c>
      <c r="F167" t="s">
        <v>104</v>
      </c>
      <c r="G167">
        <v>3</v>
      </c>
      <c r="H167">
        <v>13</v>
      </c>
      <c r="I167">
        <v>1</v>
      </c>
      <c r="J167" t="s">
        <v>286</v>
      </c>
      <c r="K167" t="s">
        <v>36</v>
      </c>
    </row>
    <row r="168" spans="1:11" x14ac:dyDescent="0.25">
      <c r="A168">
        <v>276</v>
      </c>
      <c r="B168" t="s">
        <v>98</v>
      </c>
      <c r="C168" t="s">
        <v>100</v>
      </c>
      <c r="D168" t="s">
        <v>348</v>
      </c>
      <c r="E168" t="s">
        <v>103</v>
      </c>
      <c r="F168" t="s">
        <v>104</v>
      </c>
      <c r="G168">
        <v>4</v>
      </c>
      <c r="H168">
        <v>13</v>
      </c>
      <c r="I168">
        <v>2</v>
      </c>
      <c r="J168" t="s">
        <v>307</v>
      </c>
      <c r="K168" t="s">
        <v>36</v>
      </c>
    </row>
    <row r="169" spans="1:11" x14ac:dyDescent="0.25">
      <c r="A169">
        <v>412</v>
      </c>
      <c r="B169" t="s">
        <v>125</v>
      </c>
      <c r="C169" t="s">
        <v>126</v>
      </c>
      <c r="D169" t="s">
        <v>348</v>
      </c>
      <c r="E169" t="s">
        <v>103</v>
      </c>
      <c r="F169" t="s">
        <v>104</v>
      </c>
      <c r="G169">
        <v>4</v>
      </c>
      <c r="H169">
        <v>13</v>
      </c>
      <c r="I169">
        <v>2</v>
      </c>
      <c r="J169" t="s">
        <v>307</v>
      </c>
      <c r="K169" t="s">
        <v>36</v>
      </c>
    </row>
    <row r="170" spans="1:11" x14ac:dyDescent="0.25">
      <c r="A170">
        <v>463</v>
      </c>
      <c r="B170" t="s">
        <v>78</v>
      </c>
      <c r="C170" t="s">
        <v>79</v>
      </c>
      <c r="D170" t="s">
        <v>348</v>
      </c>
      <c r="E170" t="s">
        <v>103</v>
      </c>
      <c r="F170" t="s">
        <v>104</v>
      </c>
      <c r="G170">
        <v>3</v>
      </c>
      <c r="H170">
        <v>13</v>
      </c>
      <c r="I170">
        <v>1</v>
      </c>
      <c r="J170" t="s">
        <v>286</v>
      </c>
      <c r="K170" t="s">
        <v>36</v>
      </c>
    </row>
    <row r="171" spans="1:11" x14ac:dyDescent="0.25">
      <c r="A171">
        <v>511</v>
      </c>
      <c r="B171" t="s">
        <v>114</v>
      </c>
      <c r="C171" t="s">
        <v>116</v>
      </c>
      <c r="D171" t="s">
        <v>348</v>
      </c>
      <c r="E171" t="s">
        <v>103</v>
      </c>
      <c r="F171" t="s">
        <v>104</v>
      </c>
      <c r="G171">
        <v>4</v>
      </c>
      <c r="H171">
        <v>13</v>
      </c>
      <c r="I171">
        <v>2</v>
      </c>
      <c r="J171" t="s">
        <v>307</v>
      </c>
      <c r="K171" t="s">
        <v>36</v>
      </c>
    </row>
    <row r="172" spans="1:11" x14ac:dyDescent="0.25">
      <c r="A172">
        <v>535</v>
      </c>
      <c r="B172" t="s">
        <v>302</v>
      </c>
      <c r="C172" t="s">
        <v>303</v>
      </c>
      <c r="D172" t="s">
        <v>348</v>
      </c>
      <c r="E172" t="s">
        <v>103</v>
      </c>
      <c r="F172" t="s">
        <v>104</v>
      </c>
      <c r="G172">
        <v>4</v>
      </c>
      <c r="H172">
        <v>13</v>
      </c>
      <c r="I172">
        <v>2</v>
      </c>
      <c r="J172" t="s">
        <v>307</v>
      </c>
      <c r="K172" t="s">
        <v>36</v>
      </c>
    </row>
    <row r="173" spans="1:11" x14ac:dyDescent="0.25">
      <c r="A173">
        <v>567</v>
      </c>
      <c r="B173" t="s">
        <v>81</v>
      </c>
      <c r="C173" t="s">
        <v>83</v>
      </c>
      <c r="D173" t="s">
        <v>348</v>
      </c>
      <c r="E173" t="s">
        <v>103</v>
      </c>
      <c r="F173" t="s">
        <v>104</v>
      </c>
      <c r="G173">
        <v>4</v>
      </c>
      <c r="H173">
        <v>13</v>
      </c>
      <c r="I173">
        <v>2</v>
      </c>
      <c r="J173" t="s">
        <v>307</v>
      </c>
      <c r="K173" t="s">
        <v>36</v>
      </c>
    </row>
    <row r="174" spans="1:11" x14ac:dyDescent="0.25">
      <c r="A174">
        <v>621</v>
      </c>
      <c r="B174" t="s">
        <v>85</v>
      </c>
      <c r="C174" t="s">
        <v>87</v>
      </c>
      <c r="D174" t="s">
        <v>348</v>
      </c>
      <c r="E174" t="s">
        <v>103</v>
      </c>
      <c r="F174" t="s">
        <v>104</v>
      </c>
      <c r="G174">
        <v>4</v>
      </c>
      <c r="H174">
        <v>13</v>
      </c>
      <c r="I174">
        <v>2</v>
      </c>
      <c r="J174" t="s">
        <v>307</v>
      </c>
      <c r="K174" t="s">
        <v>36</v>
      </c>
    </row>
    <row r="175" spans="1:11" x14ac:dyDescent="0.25">
      <c r="A175">
        <v>175</v>
      </c>
      <c r="B175" t="s">
        <v>63</v>
      </c>
      <c r="C175" t="s">
        <v>65</v>
      </c>
      <c r="D175" t="s">
        <v>350</v>
      </c>
      <c r="E175" t="s">
        <v>185</v>
      </c>
      <c r="F175" t="s">
        <v>186</v>
      </c>
      <c r="G175">
        <v>3</v>
      </c>
      <c r="H175">
        <v>10.15</v>
      </c>
      <c r="I175">
        <v>1</v>
      </c>
      <c r="J175" t="s">
        <v>286</v>
      </c>
      <c r="K175" t="s">
        <v>163</v>
      </c>
    </row>
    <row r="176" spans="1:11" x14ac:dyDescent="0.25">
      <c r="A176">
        <v>222</v>
      </c>
      <c r="B176" t="s">
        <v>107</v>
      </c>
      <c r="C176" t="s">
        <v>108</v>
      </c>
      <c r="D176" t="s">
        <v>350</v>
      </c>
      <c r="E176" t="s">
        <v>185</v>
      </c>
      <c r="F176" t="s">
        <v>186</v>
      </c>
      <c r="G176">
        <v>5</v>
      </c>
      <c r="H176">
        <v>10.15</v>
      </c>
      <c r="I176">
        <v>3</v>
      </c>
      <c r="J176" t="s">
        <v>349</v>
      </c>
      <c r="K176" t="s">
        <v>163</v>
      </c>
    </row>
    <row r="177" spans="1:11" x14ac:dyDescent="0.25">
      <c r="A177">
        <v>259</v>
      </c>
      <c r="B177" t="s">
        <v>98</v>
      </c>
      <c r="C177" t="s">
        <v>100</v>
      </c>
      <c r="D177" t="s">
        <v>350</v>
      </c>
      <c r="E177" t="s">
        <v>185</v>
      </c>
      <c r="F177" t="s">
        <v>186</v>
      </c>
      <c r="G177">
        <v>3</v>
      </c>
      <c r="H177">
        <v>10.15</v>
      </c>
      <c r="I177">
        <v>1</v>
      </c>
      <c r="J177" t="s">
        <v>286</v>
      </c>
      <c r="K177" t="s">
        <v>163</v>
      </c>
    </row>
    <row r="178" spans="1:11" x14ac:dyDescent="0.25">
      <c r="A178">
        <v>295</v>
      </c>
      <c r="B178" t="s">
        <v>75</v>
      </c>
      <c r="C178" t="s">
        <v>77</v>
      </c>
      <c r="D178" t="s">
        <v>350</v>
      </c>
      <c r="E178" t="s">
        <v>185</v>
      </c>
      <c r="F178" t="s">
        <v>186</v>
      </c>
      <c r="G178">
        <v>3</v>
      </c>
      <c r="H178">
        <v>10.15</v>
      </c>
      <c r="I178">
        <v>1</v>
      </c>
      <c r="J178" t="s">
        <v>286</v>
      </c>
      <c r="K178" t="s">
        <v>163</v>
      </c>
    </row>
    <row r="179" spans="1:11" x14ac:dyDescent="0.25">
      <c r="A179">
        <v>341</v>
      </c>
      <c r="B179" t="s">
        <v>109</v>
      </c>
      <c r="C179" t="s">
        <v>110</v>
      </c>
      <c r="D179" t="s">
        <v>350</v>
      </c>
      <c r="E179" t="s">
        <v>185</v>
      </c>
      <c r="F179" t="s">
        <v>186</v>
      </c>
      <c r="G179">
        <v>3</v>
      </c>
      <c r="H179">
        <v>10.15</v>
      </c>
      <c r="I179">
        <v>1</v>
      </c>
      <c r="J179" t="s">
        <v>286</v>
      </c>
      <c r="K179" t="s">
        <v>163</v>
      </c>
    </row>
    <row r="180" spans="1:11" x14ac:dyDescent="0.25">
      <c r="A180">
        <v>438</v>
      </c>
      <c r="B180" t="s">
        <v>78</v>
      </c>
      <c r="C180" t="s">
        <v>79</v>
      </c>
      <c r="D180" t="s">
        <v>350</v>
      </c>
      <c r="E180" t="s">
        <v>185</v>
      </c>
      <c r="F180" t="s">
        <v>186</v>
      </c>
      <c r="G180">
        <v>3</v>
      </c>
      <c r="H180">
        <v>10.15</v>
      </c>
      <c r="I180">
        <v>1</v>
      </c>
      <c r="J180" t="s">
        <v>286</v>
      </c>
      <c r="K180" t="s">
        <v>163</v>
      </c>
    </row>
    <row r="181" spans="1:11" x14ac:dyDescent="0.25">
      <c r="A181">
        <v>488</v>
      </c>
      <c r="B181" t="s">
        <v>114</v>
      </c>
      <c r="C181" t="s">
        <v>116</v>
      </c>
      <c r="D181" t="s">
        <v>350</v>
      </c>
      <c r="E181" t="s">
        <v>185</v>
      </c>
      <c r="F181" t="s">
        <v>186</v>
      </c>
      <c r="G181">
        <v>3</v>
      </c>
      <c r="H181">
        <v>10.15</v>
      </c>
      <c r="I181">
        <v>1</v>
      </c>
      <c r="J181" t="s">
        <v>286</v>
      </c>
      <c r="K181" t="s">
        <v>163</v>
      </c>
    </row>
    <row r="182" spans="1:11" x14ac:dyDescent="0.25">
      <c r="A182">
        <v>516</v>
      </c>
      <c r="B182" t="s">
        <v>302</v>
      </c>
      <c r="C182" t="s">
        <v>303</v>
      </c>
      <c r="D182" t="s">
        <v>350</v>
      </c>
      <c r="E182" t="s">
        <v>185</v>
      </c>
      <c r="F182" t="s">
        <v>186</v>
      </c>
      <c r="G182">
        <v>4</v>
      </c>
      <c r="H182">
        <v>10.15</v>
      </c>
      <c r="I182">
        <v>2</v>
      </c>
      <c r="J182" t="s">
        <v>307</v>
      </c>
      <c r="K182" t="s">
        <v>163</v>
      </c>
    </row>
    <row r="183" spans="1:11" x14ac:dyDescent="0.25">
      <c r="A183">
        <v>573</v>
      </c>
      <c r="B183" t="s">
        <v>305</v>
      </c>
      <c r="C183" t="s">
        <v>306</v>
      </c>
      <c r="D183" t="s">
        <v>350</v>
      </c>
      <c r="E183" t="s">
        <v>185</v>
      </c>
      <c r="F183" t="s">
        <v>186</v>
      </c>
      <c r="G183">
        <v>4</v>
      </c>
      <c r="H183">
        <v>10.15</v>
      </c>
      <c r="I183">
        <v>2</v>
      </c>
      <c r="J183" t="s">
        <v>307</v>
      </c>
      <c r="K183" t="s">
        <v>163</v>
      </c>
    </row>
    <row r="184" spans="1:11" x14ac:dyDescent="0.25">
      <c r="A184">
        <v>598</v>
      </c>
      <c r="B184" t="s">
        <v>85</v>
      </c>
      <c r="C184" t="s">
        <v>87</v>
      </c>
      <c r="D184" t="s">
        <v>350</v>
      </c>
      <c r="E184" t="s">
        <v>185</v>
      </c>
      <c r="F184" t="s">
        <v>186</v>
      </c>
      <c r="G184">
        <v>3</v>
      </c>
      <c r="H184">
        <v>10.15</v>
      </c>
      <c r="I184">
        <v>1</v>
      </c>
      <c r="J184" t="s">
        <v>286</v>
      </c>
      <c r="K184" t="s">
        <v>163</v>
      </c>
    </row>
    <row r="185" spans="1:11" x14ac:dyDescent="0.25">
      <c r="A185">
        <v>94</v>
      </c>
      <c r="B185" t="s">
        <v>89</v>
      </c>
      <c r="C185" t="s">
        <v>90</v>
      </c>
      <c r="D185" t="s">
        <v>351</v>
      </c>
      <c r="E185" t="s">
        <v>175</v>
      </c>
      <c r="F185" t="s">
        <v>176</v>
      </c>
      <c r="G185">
        <v>3</v>
      </c>
      <c r="H185">
        <v>3.25</v>
      </c>
      <c r="I185">
        <v>1</v>
      </c>
      <c r="J185" t="s">
        <v>286</v>
      </c>
      <c r="K185" t="s">
        <v>146</v>
      </c>
    </row>
    <row r="186" spans="1:11" x14ac:dyDescent="0.25">
      <c r="A186">
        <v>223</v>
      </c>
      <c r="B186" t="s">
        <v>107</v>
      </c>
      <c r="C186" t="s">
        <v>108</v>
      </c>
      <c r="D186" t="s">
        <v>351</v>
      </c>
      <c r="E186" t="s">
        <v>175</v>
      </c>
      <c r="F186" t="s">
        <v>176</v>
      </c>
      <c r="G186">
        <v>4</v>
      </c>
      <c r="H186">
        <v>3.25</v>
      </c>
      <c r="I186">
        <v>2</v>
      </c>
      <c r="J186" t="s">
        <v>307</v>
      </c>
      <c r="K186" t="s">
        <v>146</v>
      </c>
    </row>
    <row r="187" spans="1:11" x14ac:dyDescent="0.25">
      <c r="A187">
        <v>260</v>
      </c>
      <c r="B187" t="s">
        <v>98</v>
      </c>
      <c r="C187" t="s">
        <v>100</v>
      </c>
      <c r="D187" t="s">
        <v>351</v>
      </c>
      <c r="E187" t="s">
        <v>175</v>
      </c>
      <c r="F187" t="s">
        <v>176</v>
      </c>
      <c r="G187">
        <v>3</v>
      </c>
      <c r="H187">
        <v>3.25</v>
      </c>
      <c r="I187">
        <v>1</v>
      </c>
      <c r="J187" t="s">
        <v>286</v>
      </c>
      <c r="K187" t="s">
        <v>146</v>
      </c>
    </row>
    <row r="188" spans="1:11" x14ac:dyDescent="0.25">
      <c r="A188">
        <v>297</v>
      </c>
      <c r="B188" t="s">
        <v>75</v>
      </c>
      <c r="C188" t="s">
        <v>77</v>
      </c>
      <c r="D188" t="s">
        <v>351</v>
      </c>
      <c r="E188" t="s">
        <v>175</v>
      </c>
      <c r="F188" t="s">
        <v>176</v>
      </c>
      <c r="G188">
        <v>3</v>
      </c>
      <c r="H188">
        <v>3.25</v>
      </c>
      <c r="I188">
        <v>1</v>
      </c>
      <c r="J188" t="s">
        <v>286</v>
      </c>
      <c r="K188" t="s">
        <v>146</v>
      </c>
    </row>
    <row r="189" spans="1:11" x14ac:dyDescent="0.25">
      <c r="A189">
        <v>469</v>
      </c>
      <c r="B189" t="s">
        <v>300</v>
      </c>
      <c r="C189" t="s">
        <v>301</v>
      </c>
      <c r="D189" t="s">
        <v>351</v>
      </c>
      <c r="E189" t="s">
        <v>175</v>
      </c>
      <c r="F189" t="s">
        <v>176</v>
      </c>
      <c r="G189">
        <v>3</v>
      </c>
      <c r="H189">
        <v>3.25</v>
      </c>
      <c r="I189">
        <v>1</v>
      </c>
      <c r="J189" t="s">
        <v>286</v>
      </c>
      <c r="K189" t="s">
        <v>146</v>
      </c>
    </row>
    <row r="190" spans="1:11" x14ac:dyDescent="0.25">
      <c r="A190">
        <v>490</v>
      </c>
      <c r="B190" t="s">
        <v>114</v>
      </c>
      <c r="C190" t="s">
        <v>116</v>
      </c>
      <c r="D190" t="s">
        <v>351</v>
      </c>
      <c r="E190" t="s">
        <v>175</v>
      </c>
      <c r="F190" t="s">
        <v>176</v>
      </c>
      <c r="G190">
        <v>5</v>
      </c>
      <c r="H190">
        <v>3.25</v>
      </c>
      <c r="I190">
        <v>3</v>
      </c>
      <c r="J190" t="s">
        <v>349</v>
      </c>
      <c r="K190" t="s">
        <v>146</v>
      </c>
    </row>
    <row r="191" spans="1:11" x14ac:dyDescent="0.25">
      <c r="A191">
        <v>519</v>
      </c>
      <c r="B191" t="s">
        <v>302</v>
      </c>
      <c r="C191" t="s">
        <v>303</v>
      </c>
      <c r="D191" t="s">
        <v>351</v>
      </c>
      <c r="E191" t="s">
        <v>175</v>
      </c>
      <c r="F191" t="s">
        <v>176</v>
      </c>
      <c r="G191">
        <v>4</v>
      </c>
      <c r="H191">
        <v>3.25</v>
      </c>
      <c r="I191">
        <v>2</v>
      </c>
      <c r="J191" t="s">
        <v>307</v>
      </c>
      <c r="K191" t="s">
        <v>146</v>
      </c>
    </row>
    <row r="192" spans="1:11" x14ac:dyDescent="0.25">
      <c r="A192">
        <v>542</v>
      </c>
      <c r="B192" t="s">
        <v>81</v>
      </c>
      <c r="C192" t="s">
        <v>83</v>
      </c>
      <c r="D192" t="s">
        <v>351</v>
      </c>
      <c r="E192" t="s">
        <v>175</v>
      </c>
      <c r="F192" t="s">
        <v>176</v>
      </c>
      <c r="G192">
        <v>4</v>
      </c>
      <c r="H192">
        <v>3.25</v>
      </c>
      <c r="I192">
        <v>2</v>
      </c>
      <c r="J192" t="s">
        <v>307</v>
      </c>
      <c r="K192" t="s">
        <v>146</v>
      </c>
    </row>
    <row r="193" spans="1:11" x14ac:dyDescent="0.25">
      <c r="A193">
        <v>224</v>
      </c>
      <c r="B193" t="s">
        <v>107</v>
      </c>
      <c r="C193" t="s">
        <v>108</v>
      </c>
      <c r="D193" t="s">
        <v>352</v>
      </c>
      <c r="E193" t="s">
        <v>187</v>
      </c>
      <c r="F193" t="s">
        <v>189</v>
      </c>
      <c r="G193">
        <v>4</v>
      </c>
      <c r="H193">
        <v>7.8</v>
      </c>
      <c r="I193">
        <v>2</v>
      </c>
      <c r="J193" t="s">
        <v>307</v>
      </c>
      <c r="K193" t="s">
        <v>171</v>
      </c>
    </row>
    <row r="194" spans="1:11" x14ac:dyDescent="0.25">
      <c r="A194">
        <v>343</v>
      </c>
      <c r="B194" t="s">
        <v>109</v>
      </c>
      <c r="C194" t="s">
        <v>110</v>
      </c>
      <c r="D194" t="s">
        <v>352</v>
      </c>
      <c r="E194" t="s">
        <v>187</v>
      </c>
      <c r="F194" t="s">
        <v>189</v>
      </c>
      <c r="G194">
        <v>3</v>
      </c>
      <c r="H194">
        <v>7.8</v>
      </c>
      <c r="I194">
        <v>1</v>
      </c>
      <c r="J194" t="s">
        <v>286</v>
      </c>
      <c r="K194" t="s">
        <v>171</v>
      </c>
    </row>
    <row r="195" spans="1:11" x14ac:dyDescent="0.25">
      <c r="A195">
        <v>390</v>
      </c>
      <c r="B195" t="s">
        <v>125</v>
      </c>
      <c r="C195" t="s">
        <v>126</v>
      </c>
      <c r="D195" t="s">
        <v>352</v>
      </c>
      <c r="E195" t="s">
        <v>187</v>
      </c>
      <c r="F195" t="s">
        <v>189</v>
      </c>
      <c r="G195">
        <v>3</v>
      </c>
      <c r="H195">
        <v>7.8</v>
      </c>
      <c r="I195">
        <v>1</v>
      </c>
      <c r="J195" t="s">
        <v>286</v>
      </c>
      <c r="K195" t="s">
        <v>171</v>
      </c>
    </row>
    <row r="196" spans="1:11" x14ac:dyDescent="0.25">
      <c r="A196">
        <v>491</v>
      </c>
      <c r="B196" t="s">
        <v>114</v>
      </c>
      <c r="C196" t="s">
        <v>116</v>
      </c>
      <c r="D196" t="s">
        <v>352</v>
      </c>
      <c r="E196" t="s">
        <v>187</v>
      </c>
      <c r="F196" t="s">
        <v>189</v>
      </c>
      <c r="G196">
        <v>5</v>
      </c>
      <c r="H196">
        <v>7.8</v>
      </c>
      <c r="I196">
        <v>3</v>
      </c>
      <c r="J196" t="s">
        <v>349</v>
      </c>
      <c r="K196" t="s">
        <v>171</v>
      </c>
    </row>
    <row r="197" spans="1:11" x14ac:dyDescent="0.25">
      <c r="A197">
        <v>520</v>
      </c>
      <c r="B197" t="s">
        <v>302</v>
      </c>
      <c r="C197" t="s">
        <v>303</v>
      </c>
      <c r="D197" t="s">
        <v>352</v>
      </c>
      <c r="E197" t="s">
        <v>187</v>
      </c>
      <c r="F197" t="s">
        <v>189</v>
      </c>
      <c r="G197">
        <v>3</v>
      </c>
      <c r="H197">
        <v>7.8</v>
      </c>
      <c r="I197">
        <v>1</v>
      </c>
      <c r="J197" t="s">
        <v>286</v>
      </c>
      <c r="K197" t="s">
        <v>171</v>
      </c>
    </row>
    <row r="198" spans="1:11" x14ac:dyDescent="0.25">
      <c r="A198">
        <v>543</v>
      </c>
      <c r="B198" t="s">
        <v>81</v>
      </c>
      <c r="C198" t="s">
        <v>83</v>
      </c>
      <c r="D198" t="s">
        <v>352</v>
      </c>
      <c r="E198" t="s">
        <v>187</v>
      </c>
      <c r="F198" t="s">
        <v>189</v>
      </c>
      <c r="G198">
        <v>3</v>
      </c>
      <c r="H198">
        <v>7.8</v>
      </c>
      <c r="I198">
        <v>1</v>
      </c>
      <c r="J198" t="s">
        <v>286</v>
      </c>
      <c r="K198" t="s">
        <v>171</v>
      </c>
    </row>
    <row r="199" spans="1:11" x14ac:dyDescent="0.25">
      <c r="A199">
        <v>600</v>
      </c>
      <c r="B199" t="s">
        <v>85</v>
      </c>
      <c r="C199" t="s">
        <v>87</v>
      </c>
      <c r="D199" t="s">
        <v>352</v>
      </c>
      <c r="E199" t="s">
        <v>187</v>
      </c>
      <c r="F199" t="s">
        <v>189</v>
      </c>
      <c r="G199">
        <v>3</v>
      </c>
      <c r="H199">
        <v>7.8</v>
      </c>
      <c r="I199">
        <v>1</v>
      </c>
      <c r="J199" t="s">
        <v>286</v>
      </c>
      <c r="K199" t="s">
        <v>171</v>
      </c>
    </row>
    <row r="200" spans="1:11" x14ac:dyDescent="0.25">
      <c r="A200">
        <v>32</v>
      </c>
      <c r="B200" t="s">
        <v>143</v>
      </c>
      <c r="C200" t="s">
        <v>144</v>
      </c>
      <c r="D200" t="s">
        <v>353</v>
      </c>
      <c r="E200" t="s">
        <v>206</v>
      </c>
      <c r="F200" t="s">
        <v>208</v>
      </c>
      <c r="G200">
        <v>3</v>
      </c>
      <c r="H200">
        <v>8.65</v>
      </c>
      <c r="I200">
        <v>3</v>
      </c>
      <c r="J200" t="s">
        <v>349</v>
      </c>
      <c r="K200" t="s">
        <v>171</v>
      </c>
    </row>
    <row r="201" spans="1:11" x14ac:dyDescent="0.25">
      <c r="A201">
        <v>200</v>
      </c>
      <c r="B201" t="s">
        <v>72</v>
      </c>
      <c r="C201" t="s">
        <v>73</v>
      </c>
      <c r="D201" t="s">
        <v>354</v>
      </c>
      <c r="E201" t="s">
        <v>111</v>
      </c>
      <c r="F201" t="s">
        <v>112</v>
      </c>
      <c r="G201">
        <v>4</v>
      </c>
      <c r="H201">
        <v>14</v>
      </c>
      <c r="I201">
        <v>2</v>
      </c>
      <c r="J201" t="s">
        <v>307</v>
      </c>
      <c r="K201" t="s">
        <v>36</v>
      </c>
    </row>
    <row r="202" spans="1:11" x14ac:dyDescent="0.25">
      <c r="A202">
        <v>245</v>
      </c>
      <c r="B202" t="s">
        <v>308</v>
      </c>
      <c r="C202" t="s">
        <v>309</v>
      </c>
      <c r="D202" t="s">
        <v>354</v>
      </c>
      <c r="E202" t="s">
        <v>111</v>
      </c>
      <c r="F202" t="s">
        <v>112</v>
      </c>
      <c r="G202">
        <v>4</v>
      </c>
      <c r="H202">
        <v>14</v>
      </c>
      <c r="I202">
        <v>3</v>
      </c>
      <c r="J202" t="s">
        <v>304</v>
      </c>
      <c r="K202" t="s">
        <v>36</v>
      </c>
    </row>
    <row r="203" spans="1:11" x14ac:dyDescent="0.25">
      <c r="A203">
        <v>282</v>
      </c>
      <c r="B203" t="s">
        <v>291</v>
      </c>
      <c r="C203" t="s">
        <v>292</v>
      </c>
      <c r="D203" t="s">
        <v>354</v>
      </c>
      <c r="E203" t="s">
        <v>111</v>
      </c>
      <c r="F203" t="s">
        <v>112</v>
      </c>
      <c r="G203">
        <v>4</v>
      </c>
      <c r="H203">
        <v>14</v>
      </c>
      <c r="I203">
        <v>3</v>
      </c>
      <c r="J203" t="s">
        <v>304</v>
      </c>
      <c r="K203" t="s">
        <v>36</v>
      </c>
    </row>
    <row r="204" spans="1:11" x14ac:dyDescent="0.25">
      <c r="A204">
        <v>299</v>
      </c>
      <c r="B204" t="s">
        <v>75</v>
      </c>
      <c r="C204" t="s">
        <v>77</v>
      </c>
      <c r="D204" t="s">
        <v>354</v>
      </c>
      <c r="E204" t="s">
        <v>111</v>
      </c>
      <c r="F204" t="s">
        <v>112</v>
      </c>
      <c r="G204">
        <v>5</v>
      </c>
      <c r="H204">
        <v>14</v>
      </c>
      <c r="I204">
        <v>3</v>
      </c>
      <c r="J204" t="s">
        <v>349</v>
      </c>
      <c r="K204" t="s">
        <v>36</v>
      </c>
    </row>
    <row r="205" spans="1:11" x14ac:dyDescent="0.25">
      <c r="A205">
        <v>326</v>
      </c>
      <c r="B205" t="s">
        <v>293</v>
      </c>
      <c r="C205" t="s">
        <v>294</v>
      </c>
      <c r="D205" t="s">
        <v>354</v>
      </c>
      <c r="E205" t="s">
        <v>111</v>
      </c>
      <c r="F205" t="s">
        <v>112</v>
      </c>
      <c r="G205">
        <v>3</v>
      </c>
      <c r="H205">
        <v>14</v>
      </c>
      <c r="I205">
        <v>1</v>
      </c>
      <c r="J205" t="s">
        <v>286</v>
      </c>
      <c r="K205" t="s">
        <v>36</v>
      </c>
    </row>
    <row r="206" spans="1:11" x14ac:dyDescent="0.25">
      <c r="A206">
        <v>345</v>
      </c>
      <c r="B206" t="s">
        <v>109</v>
      </c>
      <c r="C206" t="s">
        <v>110</v>
      </c>
      <c r="D206" t="s">
        <v>354</v>
      </c>
      <c r="E206" t="s">
        <v>111</v>
      </c>
      <c r="F206" t="s">
        <v>112</v>
      </c>
      <c r="G206">
        <v>4</v>
      </c>
      <c r="H206">
        <v>14</v>
      </c>
      <c r="I206">
        <v>2</v>
      </c>
      <c r="J206" t="s">
        <v>307</v>
      </c>
      <c r="K206" t="s">
        <v>36</v>
      </c>
    </row>
    <row r="207" spans="1:11" x14ac:dyDescent="0.25">
      <c r="A207">
        <v>423</v>
      </c>
      <c r="B207" t="s">
        <v>298</v>
      </c>
      <c r="C207" t="s">
        <v>299</v>
      </c>
      <c r="D207" t="s">
        <v>354</v>
      </c>
      <c r="E207" t="s">
        <v>111</v>
      </c>
      <c r="F207" t="s">
        <v>112</v>
      </c>
      <c r="G207">
        <v>3</v>
      </c>
      <c r="H207">
        <v>14</v>
      </c>
      <c r="I207">
        <v>1</v>
      </c>
      <c r="J207" t="s">
        <v>286</v>
      </c>
      <c r="K207" t="s">
        <v>36</v>
      </c>
    </row>
    <row r="208" spans="1:11" x14ac:dyDescent="0.25">
      <c r="A208">
        <v>440</v>
      </c>
      <c r="B208" t="s">
        <v>78</v>
      </c>
      <c r="C208" t="s">
        <v>79</v>
      </c>
      <c r="D208" t="s">
        <v>354</v>
      </c>
      <c r="E208" t="s">
        <v>111</v>
      </c>
      <c r="F208" t="s">
        <v>112</v>
      </c>
      <c r="G208">
        <v>3</v>
      </c>
      <c r="H208">
        <v>14</v>
      </c>
      <c r="I208">
        <v>1</v>
      </c>
      <c r="J208" t="s">
        <v>286</v>
      </c>
      <c r="K208" t="s">
        <v>36</v>
      </c>
    </row>
    <row r="209" spans="1:11" x14ac:dyDescent="0.25">
      <c r="A209">
        <v>545</v>
      </c>
      <c r="B209" t="s">
        <v>81</v>
      </c>
      <c r="C209" t="s">
        <v>83</v>
      </c>
      <c r="D209" t="s">
        <v>354</v>
      </c>
      <c r="E209" t="s">
        <v>111</v>
      </c>
      <c r="F209" t="s">
        <v>112</v>
      </c>
      <c r="G209">
        <v>4</v>
      </c>
      <c r="H209">
        <v>14</v>
      </c>
      <c r="I209">
        <v>2</v>
      </c>
      <c r="J209" t="s">
        <v>307</v>
      </c>
      <c r="K209" t="s">
        <v>36</v>
      </c>
    </row>
    <row r="210" spans="1:11" x14ac:dyDescent="0.25">
      <c r="A210">
        <v>602</v>
      </c>
      <c r="B210" t="s">
        <v>85</v>
      </c>
      <c r="C210" t="s">
        <v>87</v>
      </c>
      <c r="D210" t="s">
        <v>354</v>
      </c>
      <c r="E210" t="s">
        <v>111</v>
      </c>
      <c r="F210" t="s">
        <v>112</v>
      </c>
      <c r="G210">
        <v>3</v>
      </c>
      <c r="H210">
        <v>14</v>
      </c>
      <c r="I210">
        <v>1</v>
      </c>
      <c r="J210" t="s">
        <v>286</v>
      </c>
      <c r="K210" t="s">
        <v>36</v>
      </c>
    </row>
    <row r="211" spans="1:11" x14ac:dyDescent="0.25">
      <c r="A211">
        <v>328</v>
      </c>
      <c r="B211" t="s">
        <v>293</v>
      </c>
      <c r="C211" t="s">
        <v>294</v>
      </c>
      <c r="D211" t="s">
        <v>355</v>
      </c>
      <c r="E211" t="s">
        <v>181</v>
      </c>
      <c r="F211" t="s">
        <v>182</v>
      </c>
      <c r="G211">
        <v>3</v>
      </c>
      <c r="H211">
        <v>11.2</v>
      </c>
      <c r="I211">
        <v>1</v>
      </c>
      <c r="J211" t="s">
        <v>286</v>
      </c>
      <c r="K211" t="s">
        <v>163</v>
      </c>
    </row>
    <row r="212" spans="1:11" x14ac:dyDescent="0.25">
      <c r="A212">
        <v>377</v>
      </c>
      <c r="B212" t="s">
        <v>295</v>
      </c>
      <c r="C212" t="s">
        <v>296</v>
      </c>
      <c r="D212" t="s">
        <v>355</v>
      </c>
      <c r="E212" t="s">
        <v>181</v>
      </c>
      <c r="F212" t="s">
        <v>182</v>
      </c>
      <c r="G212">
        <v>3</v>
      </c>
      <c r="H212">
        <v>11.2</v>
      </c>
      <c r="I212">
        <v>1</v>
      </c>
      <c r="J212" t="s">
        <v>286</v>
      </c>
      <c r="K212" t="s">
        <v>163</v>
      </c>
    </row>
    <row r="213" spans="1:11" x14ac:dyDescent="0.25">
      <c r="A213">
        <v>397</v>
      </c>
      <c r="B213" t="s">
        <v>125</v>
      </c>
      <c r="C213" t="s">
        <v>126</v>
      </c>
      <c r="D213" t="s">
        <v>355</v>
      </c>
      <c r="E213" t="s">
        <v>181</v>
      </c>
      <c r="F213" t="s">
        <v>182</v>
      </c>
      <c r="G213">
        <v>4</v>
      </c>
      <c r="H213">
        <v>11.2</v>
      </c>
      <c r="I213">
        <v>2</v>
      </c>
      <c r="J213" t="s">
        <v>307</v>
      </c>
      <c r="K213" t="s">
        <v>163</v>
      </c>
    </row>
    <row r="214" spans="1:11" x14ac:dyDescent="0.25">
      <c r="A214">
        <v>426</v>
      </c>
      <c r="B214" t="s">
        <v>298</v>
      </c>
      <c r="C214" t="s">
        <v>299</v>
      </c>
      <c r="D214" t="s">
        <v>355</v>
      </c>
      <c r="E214" t="s">
        <v>181</v>
      </c>
      <c r="F214" t="s">
        <v>182</v>
      </c>
      <c r="G214">
        <v>3</v>
      </c>
      <c r="H214">
        <v>11.2</v>
      </c>
      <c r="I214">
        <v>1</v>
      </c>
      <c r="J214" t="s">
        <v>286</v>
      </c>
      <c r="K214" t="s">
        <v>163</v>
      </c>
    </row>
    <row r="215" spans="1:11" x14ac:dyDescent="0.25">
      <c r="A215">
        <v>444</v>
      </c>
      <c r="B215" t="s">
        <v>78</v>
      </c>
      <c r="C215" t="s">
        <v>79</v>
      </c>
      <c r="D215" t="s">
        <v>355</v>
      </c>
      <c r="E215" t="s">
        <v>181</v>
      </c>
      <c r="F215" t="s">
        <v>182</v>
      </c>
      <c r="G215">
        <v>5</v>
      </c>
      <c r="H215">
        <v>11.2</v>
      </c>
      <c r="I215">
        <v>3</v>
      </c>
      <c r="J215" t="s">
        <v>349</v>
      </c>
      <c r="K215" t="s">
        <v>163</v>
      </c>
    </row>
    <row r="216" spans="1:11" x14ac:dyDescent="0.25">
      <c r="A216">
        <v>497</v>
      </c>
      <c r="B216" t="s">
        <v>114</v>
      </c>
      <c r="C216" t="s">
        <v>116</v>
      </c>
      <c r="D216" t="s">
        <v>355</v>
      </c>
      <c r="E216" t="s">
        <v>181</v>
      </c>
      <c r="F216" t="s">
        <v>182</v>
      </c>
      <c r="G216">
        <v>3</v>
      </c>
      <c r="H216">
        <v>11.2</v>
      </c>
      <c r="I216">
        <v>1</v>
      </c>
      <c r="J216" t="s">
        <v>286</v>
      </c>
      <c r="K216" t="s">
        <v>163</v>
      </c>
    </row>
    <row r="217" spans="1:11" x14ac:dyDescent="0.25">
      <c r="A217">
        <v>607</v>
      </c>
      <c r="B217" t="s">
        <v>85</v>
      </c>
      <c r="C217" t="s">
        <v>87</v>
      </c>
      <c r="D217" t="s">
        <v>355</v>
      </c>
      <c r="E217" t="s">
        <v>181</v>
      </c>
      <c r="F217" t="s">
        <v>182</v>
      </c>
      <c r="G217">
        <v>3</v>
      </c>
      <c r="H217">
        <v>11.2</v>
      </c>
      <c r="I217">
        <v>1</v>
      </c>
      <c r="J217" t="s">
        <v>286</v>
      </c>
      <c r="K217" t="s">
        <v>163</v>
      </c>
    </row>
    <row r="218" spans="1:11" x14ac:dyDescent="0.25">
      <c r="A218">
        <v>230</v>
      </c>
      <c r="B218" t="s">
        <v>107</v>
      </c>
      <c r="C218" t="s">
        <v>108</v>
      </c>
      <c r="D218" t="s">
        <v>356</v>
      </c>
      <c r="E218" t="s">
        <v>132</v>
      </c>
      <c r="F218" t="s">
        <v>133</v>
      </c>
      <c r="G218">
        <v>5</v>
      </c>
      <c r="H218">
        <v>15</v>
      </c>
      <c r="I218">
        <v>3</v>
      </c>
      <c r="J218" t="s">
        <v>349</v>
      </c>
      <c r="K218" t="s">
        <v>36</v>
      </c>
    </row>
    <row r="219" spans="1:11" x14ac:dyDescent="0.25">
      <c r="A219">
        <v>269</v>
      </c>
      <c r="B219" t="s">
        <v>98</v>
      </c>
      <c r="C219" t="s">
        <v>100</v>
      </c>
      <c r="D219" t="s">
        <v>356</v>
      </c>
      <c r="E219" t="s">
        <v>132</v>
      </c>
      <c r="F219" t="s">
        <v>133</v>
      </c>
      <c r="G219">
        <v>4</v>
      </c>
      <c r="H219">
        <v>15</v>
      </c>
      <c r="I219">
        <v>2</v>
      </c>
      <c r="J219" t="s">
        <v>307</v>
      </c>
      <c r="K219" t="s">
        <v>36</v>
      </c>
    </row>
    <row r="220" spans="1:11" x14ac:dyDescent="0.25">
      <c r="A220">
        <v>357</v>
      </c>
      <c r="B220" t="s">
        <v>109</v>
      </c>
      <c r="C220" t="s">
        <v>110</v>
      </c>
      <c r="D220" t="s">
        <v>356</v>
      </c>
      <c r="E220" t="s">
        <v>132</v>
      </c>
      <c r="F220" t="s">
        <v>133</v>
      </c>
      <c r="G220">
        <v>4</v>
      </c>
      <c r="H220">
        <v>15</v>
      </c>
      <c r="I220">
        <v>2</v>
      </c>
      <c r="J220" t="s">
        <v>307</v>
      </c>
      <c r="K220" t="s">
        <v>36</v>
      </c>
    </row>
    <row r="221" spans="1:11" x14ac:dyDescent="0.25">
      <c r="A221">
        <v>7</v>
      </c>
      <c r="B221" t="s">
        <v>119</v>
      </c>
      <c r="C221" t="s">
        <v>120</v>
      </c>
      <c r="D221" t="s">
        <v>357</v>
      </c>
      <c r="E221" t="s">
        <v>169</v>
      </c>
      <c r="F221" t="s">
        <v>172</v>
      </c>
      <c r="G221">
        <v>3</v>
      </c>
      <c r="H221">
        <v>9.5500000000000007</v>
      </c>
      <c r="I221">
        <v>1</v>
      </c>
      <c r="J221" t="s">
        <v>286</v>
      </c>
      <c r="K221" t="s">
        <v>171</v>
      </c>
    </row>
    <row r="222" spans="1:11" x14ac:dyDescent="0.25">
      <c r="A222">
        <v>50</v>
      </c>
      <c r="B222" t="s">
        <v>266</v>
      </c>
      <c r="C222" t="s">
        <v>267</v>
      </c>
      <c r="D222" t="s">
        <v>357</v>
      </c>
      <c r="E222" t="s">
        <v>169</v>
      </c>
      <c r="F222" t="s">
        <v>172</v>
      </c>
      <c r="G222">
        <v>3</v>
      </c>
      <c r="H222">
        <v>9.5500000000000007</v>
      </c>
      <c r="I222">
        <v>1</v>
      </c>
      <c r="J222" t="s">
        <v>286</v>
      </c>
      <c r="K222" t="s">
        <v>171</v>
      </c>
    </row>
    <row r="223" spans="1:11" x14ac:dyDescent="0.25">
      <c r="A223">
        <v>66</v>
      </c>
      <c r="B223" t="s">
        <v>268</v>
      </c>
      <c r="C223" t="s">
        <v>269</v>
      </c>
      <c r="D223" t="s">
        <v>357</v>
      </c>
      <c r="E223" t="s">
        <v>169</v>
      </c>
      <c r="F223" t="s">
        <v>172</v>
      </c>
      <c r="G223">
        <v>2</v>
      </c>
      <c r="H223">
        <v>9.5500000000000007</v>
      </c>
      <c r="I223">
        <v>1</v>
      </c>
      <c r="J223" t="s">
        <v>286</v>
      </c>
      <c r="K223" t="s">
        <v>171</v>
      </c>
    </row>
    <row r="224" spans="1:11" x14ac:dyDescent="0.25">
      <c r="A224">
        <v>81</v>
      </c>
      <c r="B224" t="s">
        <v>37</v>
      </c>
      <c r="C224" t="s">
        <v>39</v>
      </c>
      <c r="D224" t="s">
        <v>357</v>
      </c>
      <c r="E224" t="s">
        <v>169</v>
      </c>
      <c r="F224" t="s">
        <v>172</v>
      </c>
      <c r="G224">
        <v>3</v>
      </c>
      <c r="H224">
        <v>9.5500000000000007</v>
      </c>
      <c r="I224">
        <v>1</v>
      </c>
      <c r="J224" t="s">
        <v>286</v>
      </c>
      <c r="K224" t="s">
        <v>171</v>
      </c>
    </row>
    <row r="225" spans="1:11" x14ac:dyDescent="0.25">
      <c r="A225">
        <v>99</v>
      </c>
      <c r="B225" t="s">
        <v>89</v>
      </c>
      <c r="C225" t="s">
        <v>90</v>
      </c>
      <c r="D225" t="s">
        <v>357</v>
      </c>
      <c r="E225" t="s">
        <v>169</v>
      </c>
      <c r="F225" t="s">
        <v>172</v>
      </c>
      <c r="G225">
        <v>3</v>
      </c>
      <c r="H225">
        <v>9.5500000000000007</v>
      </c>
      <c r="I225">
        <v>1</v>
      </c>
      <c r="J225" t="s">
        <v>286</v>
      </c>
      <c r="K225" t="s">
        <v>171</v>
      </c>
    </row>
    <row r="226" spans="1:11" x14ac:dyDescent="0.25">
      <c r="A226">
        <v>114</v>
      </c>
      <c r="B226" t="s">
        <v>43</v>
      </c>
      <c r="C226" t="s">
        <v>45</v>
      </c>
      <c r="D226" t="s">
        <v>357</v>
      </c>
      <c r="E226" t="s">
        <v>169</v>
      </c>
      <c r="F226" t="s">
        <v>172</v>
      </c>
      <c r="G226">
        <v>3</v>
      </c>
      <c r="H226">
        <v>9.5500000000000007</v>
      </c>
      <c r="I226">
        <v>1</v>
      </c>
      <c r="J226" t="s">
        <v>286</v>
      </c>
      <c r="K226" t="s">
        <v>171</v>
      </c>
    </row>
    <row r="227" spans="1:11" x14ac:dyDescent="0.25">
      <c r="A227">
        <v>130</v>
      </c>
      <c r="B227" t="s">
        <v>47</v>
      </c>
      <c r="C227" t="s">
        <v>49</v>
      </c>
      <c r="D227" t="s">
        <v>357</v>
      </c>
      <c r="E227" t="s">
        <v>169</v>
      </c>
      <c r="F227" t="s">
        <v>172</v>
      </c>
      <c r="G227">
        <v>4</v>
      </c>
      <c r="H227">
        <v>9.5500000000000007</v>
      </c>
      <c r="I227">
        <v>3</v>
      </c>
      <c r="J227" t="s">
        <v>349</v>
      </c>
      <c r="K227" t="s">
        <v>171</v>
      </c>
    </row>
    <row r="228" spans="1:11" x14ac:dyDescent="0.25">
      <c r="A228">
        <v>161</v>
      </c>
      <c r="B228" t="s">
        <v>60</v>
      </c>
      <c r="C228" t="s">
        <v>61</v>
      </c>
      <c r="D228" t="s">
        <v>357</v>
      </c>
      <c r="E228" t="s">
        <v>169</v>
      </c>
      <c r="F228" t="s">
        <v>172</v>
      </c>
      <c r="G228">
        <v>3</v>
      </c>
      <c r="H228">
        <v>9.5500000000000007</v>
      </c>
      <c r="I228">
        <v>1</v>
      </c>
      <c r="J228" t="s">
        <v>286</v>
      </c>
      <c r="K228" t="s">
        <v>171</v>
      </c>
    </row>
    <row r="229" spans="1:11" x14ac:dyDescent="0.25">
      <c r="A229">
        <v>206</v>
      </c>
      <c r="B229" t="s">
        <v>72</v>
      </c>
      <c r="C229" t="s">
        <v>73</v>
      </c>
      <c r="D229" t="s">
        <v>357</v>
      </c>
      <c r="E229" t="s">
        <v>169</v>
      </c>
      <c r="F229" t="s">
        <v>172</v>
      </c>
      <c r="G229">
        <v>5</v>
      </c>
      <c r="H229">
        <v>9.5500000000000007</v>
      </c>
      <c r="I229">
        <v>3</v>
      </c>
      <c r="J229" t="s">
        <v>349</v>
      </c>
      <c r="K229" t="s">
        <v>171</v>
      </c>
    </row>
    <row r="230" spans="1:11" x14ac:dyDescent="0.25">
      <c r="A230">
        <v>264</v>
      </c>
      <c r="B230" t="s">
        <v>98</v>
      </c>
      <c r="C230" t="s">
        <v>100</v>
      </c>
      <c r="D230" t="s">
        <v>357</v>
      </c>
      <c r="E230" t="s">
        <v>169</v>
      </c>
      <c r="F230" t="s">
        <v>172</v>
      </c>
      <c r="G230">
        <v>4</v>
      </c>
      <c r="H230">
        <v>9.5500000000000007</v>
      </c>
      <c r="I230">
        <v>2</v>
      </c>
      <c r="J230" t="s">
        <v>307</v>
      </c>
      <c r="K230" t="s">
        <v>171</v>
      </c>
    </row>
    <row r="231" spans="1:11" x14ac:dyDescent="0.25">
      <c r="A231">
        <v>307</v>
      </c>
      <c r="B231" t="s">
        <v>75</v>
      </c>
      <c r="C231" t="s">
        <v>77</v>
      </c>
      <c r="D231" t="s">
        <v>357</v>
      </c>
      <c r="E231" t="s">
        <v>169</v>
      </c>
      <c r="F231" t="s">
        <v>172</v>
      </c>
      <c r="G231">
        <v>4</v>
      </c>
      <c r="H231">
        <v>9.5500000000000007</v>
      </c>
      <c r="I231">
        <v>2</v>
      </c>
      <c r="J231" t="s">
        <v>307</v>
      </c>
      <c r="K231" t="s">
        <v>171</v>
      </c>
    </row>
    <row r="232" spans="1:11" x14ac:dyDescent="0.25">
      <c r="A232">
        <v>331</v>
      </c>
      <c r="B232" t="s">
        <v>293</v>
      </c>
      <c r="C232" t="s">
        <v>294</v>
      </c>
      <c r="D232" t="s">
        <v>357</v>
      </c>
      <c r="E232" t="s">
        <v>169</v>
      </c>
      <c r="F232" t="s">
        <v>172</v>
      </c>
      <c r="G232">
        <v>3</v>
      </c>
      <c r="H232">
        <v>9.5500000000000007</v>
      </c>
      <c r="I232">
        <v>1</v>
      </c>
      <c r="J232" t="s">
        <v>286</v>
      </c>
      <c r="K232" t="s">
        <v>171</v>
      </c>
    </row>
    <row r="233" spans="1:11" x14ac:dyDescent="0.25">
      <c r="A233">
        <v>352</v>
      </c>
      <c r="B233" t="s">
        <v>109</v>
      </c>
      <c r="C233" t="s">
        <v>110</v>
      </c>
      <c r="D233" t="s">
        <v>357</v>
      </c>
      <c r="E233" t="s">
        <v>169</v>
      </c>
      <c r="F233" t="s">
        <v>172</v>
      </c>
      <c r="G233">
        <v>4</v>
      </c>
      <c r="H233">
        <v>9.5500000000000007</v>
      </c>
      <c r="I233">
        <v>2</v>
      </c>
      <c r="J233" t="s">
        <v>307</v>
      </c>
      <c r="K233" t="s">
        <v>171</v>
      </c>
    </row>
    <row r="234" spans="1:11" x14ac:dyDescent="0.25">
      <c r="A234">
        <v>402</v>
      </c>
      <c r="B234" t="s">
        <v>125</v>
      </c>
      <c r="C234" t="s">
        <v>126</v>
      </c>
      <c r="D234" t="s">
        <v>357</v>
      </c>
      <c r="E234" t="s">
        <v>169</v>
      </c>
      <c r="F234" t="s">
        <v>172</v>
      </c>
      <c r="G234">
        <v>4</v>
      </c>
      <c r="H234">
        <v>9.5500000000000007</v>
      </c>
      <c r="I234">
        <v>2</v>
      </c>
      <c r="J234" t="s">
        <v>307</v>
      </c>
      <c r="K234" t="s">
        <v>171</v>
      </c>
    </row>
    <row r="235" spans="1:11" x14ac:dyDescent="0.25">
      <c r="A235">
        <v>450</v>
      </c>
      <c r="B235" t="s">
        <v>78</v>
      </c>
      <c r="C235" t="s">
        <v>79</v>
      </c>
      <c r="D235" t="s">
        <v>357</v>
      </c>
      <c r="E235" t="s">
        <v>169</v>
      </c>
      <c r="F235" t="s">
        <v>172</v>
      </c>
      <c r="G235">
        <v>4</v>
      </c>
      <c r="H235">
        <v>9.5500000000000007</v>
      </c>
      <c r="I235">
        <v>2</v>
      </c>
      <c r="J235" t="s">
        <v>307</v>
      </c>
      <c r="K235" t="s">
        <v>171</v>
      </c>
    </row>
    <row r="236" spans="1:11" x14ac:dyDescent="0.25">
      <c r="A236">
        <v>475</v>
      </c>
      <c r="B236" t="s">
        <v>300</v>
      </c>
      <c r="C236" t="s">
        <v>301</v>
      </c>
      <c r="D236" t="s">
        <v>357</v>
      </c>
      <c r="E236" t="s">
        <v>169</v>
      </c>
      <c r="F236" t="s">
        <v>172</v>
      </c>
      <c r="G236">
        <v>3</v>
      </c>
      <c r="H236">
        <v>9.5500000000000007</v>
      </c>
      <c r="I236">
        <v>1</v>
      </c>
      <c r="J236" t="s">
        <v>286</v>
      </c>
      <c r="K236" t="s">
        <v>171</v>
      </c>
    </row>
    <row r="237" spans="1:11" x14ac:dyDescent="0.25">
      <c r="A237">
        <v>504</v>
      </c>
      <c r="B237" t="s">
        <v>114</v>
      </c>
      <c r="C237" t="s">
        <v>116</v>
      </c>
      <c r="D237" t="s">
        <v>357</v>
      </c>
      <c r="E237" t="s">
        <v>169</v>
      </c>
      <c r="F237" t="s">
        <v>172</v>
      </c>
      <c r="G237">
        <v>4</v>
      </c>
      <c r="H237">
        <v>9.5500000000000007</v>
      </c>
      <c r="I237">
        <v>2</v>
      </c>
      <c r="J237" t="s">
        <v>307</v>
      </c>
      <c r="K237" t="s">
        <v>171</v>
      </c>
    </row>
    <row r="238" spans="1:11" x14ac:dyDescent="0.25">
      <c r="A238">
        <v>527</v>
      </c>
      <c r="B238" t="s">
        <v>302</v>
      </c>
      <c r="C238" t="s">
        <v>303</v>
      </c>
      <c r="D238" t="s">
        <v>357</v>
      </c>
      <c r="E238" t="s">
        <v>169</v>
      </c>
      <c r="F238" t="s">
        <v>172</v>
      </c>
      <c r="G238">
        <v>3</v>
      </c>
      <c r="H238">
        <v>9.5500000000000007</v>
      </c>
      <c r="I238">
        <v>1</v>
      </c>
      <c r="J238" t="s">
        <v>286</v>
      </c>
      <c r="K238" t="s">
        <v>171</v>
      </c>
    </row>
    <row r="239" spans="1:11" x14ac:dyDescent="0.25">
      <c r="A239">
        <v>553</v>
      </c>
      <c r="B239" t="s">
        <v>81</v>
      </c>
      <c r="C239" t="s">
        <v>83</v>
      </c>
      <c r="D239" t="s">
        <v>357</v>
      </c>
      <c r="E239" t="s">
        <v>169</v>
      </c>
      <c r="F239" t="s">
        <v>172</v>
      </c>
      <c r="G239">
        <v>4</v>
      </c>
      <c r="H239">
        <v>9.5500000000000007</v>
      </c>
      <c r="I239">
        <v>2</v>
      </c>
      <c r="J239" t="s">
        <v>307</v>
      </c>
      <c r="K239" t="s">
        <v>171</v>
      </c>
    </row>
    <row r="240" spans="1:11" x14ac:dyDescent="0.25">
      <c r="A240">
        <v>610</v>
      </c>
      <c r="B240" t="s">
        <v>85</v>
      </c>
      <c r="C240" t="s">
        <v>87</v>
      </c>
      <c r="D240" t="s">
        <v>357</v>
      </c>
      <c r="E240" t="s">
        <v>169</v>
      </c>
      <c r="F240" t="s">
        <v>172</v>
      </c>
      <c r="G240">
        <v>3</v>
      </c>
      <c r="H240">
        <v>9.5500000000000007</v>
      </c>
      <c r="I240">
        <v>1</v>
      </c>
      <c r="J240" t="s">
        <v>286</v>
      </c>
      <c r="K240" t="s">
        <v>171</v>
      </c>
    </row>
    <row r="241" spans="1:11" x14ac:dyDescent="0.25">
      <c r="A241">
        <v>82</v>
      </c>
      <c r="B241" t="s">
        <v>37</v>
      </c>
      <c r="C241" t="s">
        <v>39</v>
      </c>
      <c r="D241" t="s">
        <v>358</v>
      </c>
      <c r="E241" t="s">
        <v>68</v>
      </c>
      <c r="F241" t="s">
        <v>69</v>
      </c>
      <c r="G241">
        <v>5</v>
      </c>
      <c r="H241">
        <v>16</v>
      </c>
      <c r="I241">
        <v>3</v>
      </c>
      <c r="J241" t="s">
        <v>349</v>
      </c>
      <c r="K241" t="s">
        <v>36</v>
      </c>
    </row>
    <row r="242" spans="1:11" x14ac:dyDescent="0.25">
      <c r="A242">
        <v>186</v>
      </c>
      <c r="B242" t="s">
        <v>63</v>
      </c>
      <c r="C242" t="s">
        <v>65</v>
      </c>
      <c r="D242" t="s">
        <v>358</v>
      </c>
      <c r="E242" t="s">
        <v>68</v>
      </c>
      <c r="F242" t="s">
        <v>69</v>
      </c>
      <c r="G242">
        <v>5</v>
      </c>
      <c r="H242">
        <v>16</v>
      </c>
      <c r="I242">
        <v>1</v>
      </c>
      <c r="J242" t="s">
        <v>316</v>
      </c>
      <c r="K242" t="s">
        <v>36</v>
      </c>
    </row>
    <row r="243" spans="1:11" x14ac:dyDescent="0.25">
      <c r="A243">
        <v>208</v>
      </c>
      <c r="B243" t="s">
        <v>72</v>
      </c>
      <c r="C243" t="s">
        <v>73</v>
      </c>
      <c r="D243" t="s">
        <v>358</v>
      </c>
      <c r="E243" t="s">
        <v>68</v>
      </c>
      <c r="F243" t="s">
        <v>69</v>
      </c>
      <c r="G243">
        <v>3</v>
      </c>
      <c r="H243">
        <v>16</v>
      </c>
      <c r="I243">
        <v>1</v>
      </c>
      <c r="J243" t="s">
        <v>286</v>
      </c>
      <c r="K243" t="s">
        <v>36</v>
      </c>
    </row>
    <row r="244" spans="1:11" x14ac:dyDescent="0.25">
      <c r="A244">
        <v>9</v>
      </c>
      <c r="B244" t="s">
        <v>119</v>
      </c>
      <c r="C244" t="s">
        <v>120</v>
      </c>
      <c r="D244" t="s">
        <v>359</v>
      </c>
      <c r="E244" t="s">
        <v>200</v>
      </c>
      <c r="F244" t="s">
        <v>201</v>
      </c>
      <c r="G244">
        <v>2</v>
      </c>
      <c r="H244">
        <v>4.125</v>
      </c>
      <c r="I244">
        <v>1</v>
      </c>
      <c r="J244" t="s">
        <v>286</v>
      </c>
      <c r="K244" t="s">
        <v>146</v>
      </c>
    </row>
    <row r="245" spans="1:11" x14ac:dyDescent="0.25">
      <c r="A245">
        <v>132</v>
      </c>
      <c r="B245" t="s">
        <v>47</v>
      </c>
      <c r="C245" t="s">
        <v>49</v>
      </c>
      <c r="D245" t="s">
        <v>359</v>
      </c>
      <c r="E245" t="s">
        <v>200</v>
      </c>
      <c r="F245" t="s">
        <v>201</v>
      </c>
      <c r="G245">
        <v>4</v>
      </c>
      <c r="H245">
        <v>4.125</v>
      </c>
      <c r="I245">
        <v>3</v>
      </c>
      <c r="J245" t="s">
        <v>349</v>
      </c>
      <c r="K245" t="s">
        <v>146</v>
      </c>
    </row>
    <row r="246" spans="1:11" x14ac:dyDescent="0.25">
      <c r="A246">
        <v>163</v>
      </c>
      <c r="B246" t="s">
        <v>60</v>
      </c>
      <c r="C246" t="s">
        <v>61</v>
      </c>
      <c r="D246" t="s">
        <v>359</v>
      </c>
      <c r="E246" t="s">
        <v>200</v>
      </c>
      <c r="F246" t="s">
        <v>201</v>
      </c>
      <c r="G246">
        <v>6</v>
      </c>
      <c r="H246">
        <v>4.125</v>
      </c>
      <c r="I246">
        <v>1</v>
      </c>
      <c r="J246" t="s">
        <v>316</v>
      </c>
      <c r="K246" t="s">
        <v>146</v>
      </c>
    </row>
    <row r="247" spans="1:11" x14ac:dyDescent="0.25">
      <c r="A247">
        <v>187</v>
      </c>
      <c r="B247" t="s">
        <v>63</v>
      </c>
      <c r="C247" t="s">
        <v>65</v>
      </c>
      <c r="D247" t="s">
        <v>359</v>
      </c>
      <c r="E247" t="s">
        <v>200</v>
      </c>
      <c r="F247" t="s">
        <v>201</v>
      </c>
      <c r="G247">
        <v>3</v>
      </c>
      <c r="H247">
        <v>4.125</v>
      </c>
      <c r="I247">
        <v>1</v>
      </c>
      <c r="J247" t="s">
        <v>286</v>
      </c>
      <c r="K247" t="s">
        <v>146</v>
      </c>
    </row>
    <row r="248" spans="1:11" x14ac:dyDescent="0.25">
      <c r="A248">
        <v>557</v>
      </c>
      <c r="B248" t="s">
        <v>81</v>
      </c>
      <c r="C248" t="s">
        <v>83</v>
      </c>
      <c r="D248" t="s">
        <v>359</v>
      </c>
      <c r="E248" t="s">
        <v>200</v>
      </c>
      <c r="F248" t="s">
        <v>201</v>
      </c>
      <c r="G248">
        <v>3</v>
      </c>
      <c r="H248">
        <v>4.125</v>
      </c>
      <c r="I248">
        <v>1</v>
      </c>
      <c r="J248" t="s">
        <v>286</v>
      </c>
      <c r="K248" t="s">
        <v>146</v>
      </c>
    </row>
    <row r="249" spans="1:11" x14ac:dyDescent="0.25">
      <c r="A249">
        <v>115</v>
      </c>
      <c r="B249" t="s">
        <v>43</v>
      </c>
      <c r="C249" t="s">
        <v>45</v>
      </c>
      <c r="D249" t="s">
        <v>360</v>
      </c>
      <c r="E249" t="s">
        <v>167</v>
      </c>
      <c r="F249" t="s">
        <v>168</v>
      </c>
      <c r="G249">
        <v>4</v>
      </c>
      <c r="H249">
        <v>9.65</v>
      </c>
      <c r="I249">
        <v>3</v>
      </c>
      <c r="J249" t="s">
        <v>349</v>
      </c>
      <c r="K249" t="s">
        <v>153</v>
      </c>
    </row>
    <row r="250" spans="1:11" x14ac:dyDescent="0.25">
      <c r="A250">
        <v>333</v>
      </c>
      <c r="B250" t="s">
        <v>293</v>
      </c>
      <c r="C250" t="s">
        <v>294</v>
      </c>
      <c r="D250" t="s">
        <v>360</v>
      </c>
      <c r="E250" t="s">
        <v>167</v>
      </c>
      <c r="F250" t="s">
        <v>168</v>
      </c>
      <c r="G250">
        <v>3</v>
      </c>
      <c r="H250">
        <v>9.65</v>
      </c>
      <c r="I250">
        <v>1</v>
      </c>
      <c r="J250" t="s">
        <v>286</v>
      </c>
      <c r="K250" t="s">
        <v>153</v>
      </c>
    </row>
    <row r="251" spans="1:11" x14ac:dyDescent="0.25">
      <c r="A251">
        <v>380</v>
      </c>
      <c r="B251" t="s">
        <v>295</v>
      </c>
      <c r="C251" t="s">
        <v>296</v>
      </c>
      <c r="D251" t="s">
        <v>360</v>
      </c>
      <c r="E251" t="s">
        <v>167</v>
      </c>
      <c r="F251" t="s">
        <v>168</v>
      </c>
      <c r="G251">
        <v>3</v>
      </c>
      <c r="H251">
        <v>9.65</v>
      </c>
      <c r="I251">
        <v>1</v>
      </c>
      <c r="J251" t="s">
        <v>286</v>
      </c>
      <c r="K251" t="s">
        <v>153</v>
      </c>
    </row>
    <row r="252" spans="1:11" x14ac:dyDescent="0.25">
      <c r="A252">
        <v>430</v>
      </c>
      <c r="B252" t="s">
        <v>298</v>
      </c>
      <c r="C252" t="s">
        <v>299</v>
      </c>
      <c r="D252" t="s">
        <v>360</v>
      </c>
      <c r="E252" t="s">
        <v>167</v>
      </c>
      <c r="F252" t="s">
        <v>168</v>
      </c>
      <c r="G252">
        <v>4</v>
      </c>
      <c r="H252">
        <v>9.65</v>
      </c>
      <c r="I252">
        <v>3</v>
      </c>
      <c r="J252" t="s">
        <v>304</v>
      </c>
      <c r="K252" t="s">
        <v>153</v>
      </c>
    </row>
    <row r="253" spans="1:11" x14ac:dyDescent="0.25">
      <c r="A253">
        <v>454</v>
      </c>
      <c r="B253" t="s">
        <v>78</v>
      </c>
      <c r="C253" t="s">
        <v>79</v>
      </c>
      <c r="D253" t="s">
        <v>360</v>
      </c>
      <c r="E253" t="s">
        <v>167</v>
      </c>
      <c r="F253" t="s">
        <v>168</v>
      </c>
      <c r="G253">
        <v>3</v>
      </c>
      <c r="H253">
        <v>9.65</v>
      </c>
      <c r="I253">
        <v>1</v>
      </c>
      <c r="J253" t="s">
        <v>286</v>
      </c>
      <c r="K253" t="s">
        <v>153</v>
      </c>
    </row>
    <row r="254" spans="1:11" x14ac:dyDescent="0.25">
      <c r="A254">
        <v>478</v>
      </c>
      <c r="B254" t="s">
        <v>300</v>
      </c>
      <c r="C254" t="s">
        <v>301</v>
      </c>
      <c r="D254" t="s">
        <v>360</v>
      </c>
      <c r="E254" t="s">
        <v>167</v>
      </c>
      <c r="F254" t="s">
        <v>168</v>
      </c>
      <c r="G254">
        <v>3</v>
      </c>
      <c r="H254">
        <v>9.65</v>
      </c>
      <c r="I254">
        <v>1</v>
      </c>
      <c r="J254" t="s">
        <v>286</v>
      </c>
      <c r="K254" t="s">
        <v>153</v>
      </c>
    </row>
    <row r="255" spans="1:11" x14ac:dyDescent="0.25">
      <c r="A255">
        <v>8</v>
      </c>
      <c r="B255" t="s">
        <v>119</v>
      </c>
      <c r="C255" t="s">
        <v>120</v>
      </c>
      <c r="D255" t="s">
        <v>361</v>
      </c>
      <c r="E255" t="s">
        <v>173</v>
      </c>
      <c r="F255" t="s">
        <v>174</v>
      </c>
      <c r="G255">
        <v>2</v>
      </c>
      <c r="H255">
        <v>5</v>
      </c>
      <c r="I255">
        <v>1</v>
      </c>
      <c r="J255" t="s">
        <v>286</v>
      </c>
      <c r="K255" t="s">
        <v>146</v>
      </c>
    </row>
    <row r="256" spans="1:11" x14ac:dyDescent="0.25">
      <c r="A256">
        <v>51</v>
      </c>
      <c r="B256" t="s">
        <v>266</v>
      </c>
      <c r="C256" t="s">
        <v>267</v>
      </c>
      <c r="D256" t="s">
        <v>361</v>
      </c>
      <c r="E256" t="s">
        <v>173</v>
      </c>
      <c r="F256" t="s">
        <v>174</v>
      </c>
      <c r="G256">
        <v>2</v>
      </c>
      <c r="H256">
        <v>5</v>
      </c>
      <c r="I256">
        <v>1</v>
      </c>
      <c r="J256" t="s">
        <v>286</v>
      </c>
      <c r="K256" t="s">
        <v>146</v>
      </c>
    </row>
    <row r="257" spans="1:11" x14ac:dyDescent="0.25">
      <c r="A257">
        <v>83</v>
      </c>
      <c r="B257" t="s">
        <v>37</v>
      </c>
      <c r="C257" t="s">
        <v>39</v>
      </c>
      <c r="D257" t="s">
        <v>361</v>
      </c>
      <c r="E257" t="s">
        <v>173</v>
      </c>
      <c r="F257" t="s">
        <v>174</v>
      </c>
      <c r="G257">
        <v>3</v>
      </c>
      <c r="H257">
        <v>5</v>
      </c>
      <c r="I257">
        <v>1</v>
      </c>
      <c r="J257" t="s">
        <v>286</v>
      </c>
      <c r="K257" t="s">
        <v>146</v>
      </c>
    </row>
    <row r="258" spans="1:11" x14ac:dyDescent="0.25">
      <c r="A258">
        <v>209</v>
      </c>
      <c r="B258" t="s">
        <v>72</v>
      </c>
      <c r="C258" t="s">
        <v>73</v>
      </c>
      <c r="D258" t="s">
        <v>361</v>
      </c>
      <c r="E258" t="s">
        <v>173</v>
      </c>
      <c r="F258" t="s">
        <v>174</v>
      </c>
      <c r="G258">
        <v>4</v>
      </c>
      <c r="H258">
        <v>5</v>
      </c>
      <c r="I258">
        <v>2</v>
      </c>
      <c r="J258" t="s">
        <v>307</v>
      </c>
      <c r="K258" t="s">
        <v>146</v>
      </c>
    </row>
    <row r="259" spans="1:11" x14ac:dyDescent="0.25">
      <c r="A259">
        <v>312</v>
      </c>
      <c r="B259" t="s">
        <v>75</v>
      </c>
      <c r="C259" t="s">
        <v>77</v>
      </c>
      <c r="D259" t="s">
        <v>361</v>
      </c>
      <c r="E259" t="s">
        <v>173</v>
      </c>
      <c r="F259" t="s">
        <v>174</v>
      </c>
      <c r="G259">
        <v>4</v>
      </c>
      <c r="H259">
        <v>5</v>
      </c>
      <c r="I259">
        <v>2</v>
      </c>
      <c r="J259" t="s">
        <v>307</v>
      </c>
      <c r="K259" t="s">
        <v>146</v>
      </c>
    </row>
    <row r="260" spans="1:11" x14ac:dyDescent="0.25">
      <c r="A260">
        <v>354</v>
      </c>
      <c r="B260" t="s">
        <v>109</v>
      </c>
      <c r="C260" t="s">
        <v>110</v>
      </c>
      <c r="D260" t="s">
        <v>361</v>
      </c>
      <c r="E260" t="s">
        <v>173</v>
      </c>
      <c r="F260" t="s">
        <v>174</v>
      </c>
      <c r="G260">
        <v>4</v>
      </c>
      <c r="H260">
        <v>5</v>
      </c>
      <c r="I260">
        <v>2</v>
      </c>
      <c r="J260" t="s">
        <v>307</v>
      </c>
      <c r="K260" t="s">
        <v>146</v>
      </c>
    </row>
    <row r="261" spans="1:11" x14ac:dyDescent="0.25">
      <c r="A261">
        <v>404</v>
      </c>
      <c r="B261" t="s">
        <v>125</v>
      </c>
      <c r="C261" t="s">
        <v>126</v>
      </c>
      <c r="D261" t="s">
        <v>361</v>
      </c>
      <c r="E261" t="s">
        <v>173</v>
      </c>
      <c r="F261" t="s">
        <v>174</v>
      </c>
      <c r="G261">
        <v>3</v>
      </c>
      <c r="H261">
        <v>5</v>
      </c>
      <c r="I261">
        <v>1</v>
      </c>
      <c r="J261" t="s">
        <v>286</v>
      </c>
      <c r="K261" t="s">
        <v>146</v>
      </c>
    </row>
    <row r="262" spans="1:11" x14ac:dyDescent="0.25">
      <c r="A262">
        <v>455</v>
      </c>
      <c r="B262" t="s">
        <v>78</v>
      </c>
      <c r="C262" t="s">
        <v>79</v>
      </c>
      <c r="D262" t="s">
        <v>361</v>
      </c>
      <c r="E262" t="s">
        <v>173</v>
      </c>
      <c r="F262" t="s">
        <v>174</v>
      </c>
      <c r="G262">
        <v>5</v>
      </c>
      <c r="H262">
        <v>5</v>
      </c>
      <c r="I262">
        <v>3</v>
      </c>
      <c r="J262" t="s">
        <v>349</v>
      </c>
      <c r="K262" t="s">
        <v>146</v>
      </c>
    </row>
    <row r="263" spans="1:11" x14ac:dyDescent="0.25">
      <c r="A263">
        <v>10</v>
      </c>
      <c r="B263" t="s">
        <v>119</v>
      </c>
      <c r="C263" t="s">
        <v>120</v>
      </c>
      <c r="D263" t="s">
        <v>362</v>
      </c>
      <c r="E263" t="s">
        <v>121</v>
      </c>
      <c r="F263" t="s">
        <v>122</v>
      </c>
      <c r="G263">
        <v>2</v>
      </c>
      <c r="H263">
        <v>17</v>
      </c>
      <c r="I263">
        <v>1</v>
      </c>
      <c r="J263" t="s">
        <v>286</v>
      </c>
      <c r="K263" t="s">
        <v>36</v>
      </c>
    </row>
    <row r="264" spans="1:11" x14ac:dyDescent="0.25">
      <c r="A264">
        <v>25</v>
      </c>
      <c r="B264" t="s">
        <v>141</v>
      </c>
      <c r="C264" t="s">
        <v>142</v>
      </c>
      <c r="D264" t="s">
        <v>362</v>
      </c>
      <c r="E264" t="s">
        <v>121</v>
      </c>
      <c r="F264" t="s">
        <v>122</v>
      </c>
      <c r="G264">
        <v>1</v>
      </c>
      <c r="H264">
        <v>17</v>
      </c>
      <c r="I264">
        <v>2</v>
      </c>
      <c r="J264" t="s">
        <v>307</v>
      </c>
      <c r="K264" t="s">
        <v>36</v>
      </c>
    </row>
    <row r="265" spans="1:11" x14ac:dyDescent="0.25">
      <c r="A265">
        <v>42</v>
      </c>
      <c r="B265" t="s">
        <v>143</v>
      </c>
      <c r="C265" t="s">
        <v>144</v>
      </c>
      <c r="D265" t="s">
        <v>362</v>
      </c>
      <c r="E265" t="s">
        <v>121</v>
      </c>
      <c r="F265" t="s">
        <v>122</v>
      </c>
      <c r="G265">
        <v>2</v>
      </c>
      <c r="H265">
        <v>17</v>
      </c>
      <c r="I265">
        <v>2</v>
      </c>
      <c r="J265" t="s">
        <v>307</v>
      </c>
      <c r="K265" t="s">
        <v>36</v>
      </c>
    </row>
    <row r="266" spans="1:11" x14ac:dyDescent="0.25">
      <c r="A266">
        <v>133</v>
      </c>
      <c r="B266" t="s">
        <v>47</v>
      </c>
      <c r="C266" t="s">
        <v>49</v>
      </c>
      <c r="D266" t="s">
        <v>362</v>
      </c>
      <c r="E266" t="s">
        <v>121</v>
      </c>
      <c r="F266" t="s">
        <v>122</v>
      </c>
      <c r="G266">
        <v>3</v>
      </c>
      <c r="H266">
        <v>17</v>
      </c>
      <c r="I266">
        <v>1</v>
      </c>
      <c r="J266" t="s">
        <v>286</v>
      </c>
      <c r="K266" t="s">
        <v>36</v>
      </c>
    </row>
    <row r="267" spans="1:11" x14ac:dyDescent="0.25">
      <c r="A267">
        <v>231</v>
      </c>
      <c r="B267" t="s">
        <v>107</v>
      </c>
      <c r="C267" t="s">
        <v>108</v>
      </c>
      <c r="D267" t="s">
        <v>362</v>
      </c>
      <c r="E267" t="s">
        <v>121</v>
      </c>
      <c r="F267" t="s">
        <v>122</v>
      </c>
      <c r="G267">
        <v>4</v>
      </c>
      <c r="H267">
        <v>17</v>
      </c>
      <c r="I267">
        <v>2</v>
      </c>
      <c r="J267" t="s">
        <v>307</v>
      </c>
      <c r="K267" t="s">
        <v>36</v>
      </c>
    </row>
    <row r="268" spans="1:11" x14ac:dyDescent="0.25">
      <c r="A268">
        <v>270</v>
      </c>
      <c r="B268" t="s">
        <v>98</v>
      </c>
      <c r="C268" t="s">
        <v>100</v>
      </c>
      <c r="D268" t="s">
        <v>362</v>
      </c>
      <c r="E268" t="s">
        <v>121</v>
      </c>
      <c r="F268" t="s">
        <v>122</v>
      </c>
      <c r="G268">
        <v>5</v>
      </c>
      <c r="H268">
        <v>17</v>
      </c>
      <c r="I268">
        <v>3</v>
      </c>
      <c r="J268" t="s">
        <v>349</v>
      </c>
      <c r="K268" t="s">
        <v>36</v>
      </c>
    </row>
    <row r="269" spans="1:11" x14ac:dyDescent="0.25">
      <c r="A269">
        <v>313</v>
      </c>
      <c r="B269" t="s">
        <v>75</v>
      </c>
      <c r="C269" t="s">
        <v>77</v>
      </c>
      <c r="D269" t="s">
        <v>362</v>
      </c>
      <c r="E269" t="s">
        <v>121</v>
      </c>
      <c r="F269" t="s">
        <v>122</v>
      </c>
      <c r="G269">
        <v>4</v>
      </c>
      <c r="H269">
        <v>17</v>
      </c>
      <c r="I269">
        <v>2</v>
      </c>
      <c r="J269" t="s">
        <v>307</v>
      </c>
      <c r="K269" t="s">
        <v>36</v>
      </c>
    </row>
    <row r="270" spans="1:11" x14ac:dyDescent="0.25">
      <c r="A270">
        <v>271</v>
      </c>
      <c r="B270" t="s">
        <v>98</v>
      </c>
      <c r="C270" t="s">
        <v>100</v>
      </c>
      <c r="D270" t="s">
        <v>363</v>
      </c>
      <c r="E270" t="s">
        <v>204</v>
      </c>
      <c r="F270" t="s">
        <v>205</v>
      </c>
      <c r="G270">
        <v>3</v>
      </c>
      <c r="H270">
        <v>18</v>
      </c>
      <c r="I270">
        <v>1</v>
      </c>
      <c r="J270" t="s">
        <v>286</v>
      </c>
      <c r="K270" t="s">
        <v>36</v>
      </c>
    </row>
    <row r="271" spans="1:11" x14ac:dyDescent="0.25">
      <c r="A271">
        <v>335</v>
      </c>
      <c r="B271" t="s">
        <v>293</v>
      </c>
      <c r="C271" t="s">
        <v>294</v>
      </c>
      <c r="D271" t="s">
        <v>363</v>
      </c>
      <c r="E271" t="s">
        <v>204</v>
      </c>
      <c r="F271" t="s">
        <v>205</v>
      </c>
      <c r="G271">
        <v>4</v>
      </c>
      <c r="H271">
        <v>18</v>
      </c>
      <c r="I271">
        <v>3</v>
      </c>
      <c r="J271" t="s">
        <v>304</v>
      </c>
      <c r="K271" t="s">
        <v>36</v>
      </c>
    </row>
    <row r="272" spans="1:11" x14ac:dyDescent="0.25">
      <c r="A272">
        <v>358</v>
      </c>
      <c r="B272" t="s">
        <v>109</v>
      </c>
      <c r="C272" t="s">
        <v>110</v>
      </c>
      <c r="D272" t="s">
        <v>363</v>
      </c>
      <c r="E272" t="s">
        <v>204</v>
      </c>
      <c r="F272" t="s">
        <v>205</v>
      </c>
      <c r="G272">
        <v>3</v>
      </c>
      <c r="H272">
        <v>18</v>
      </c>
      <c r="I272">
        <v>1</v>
      </c>
      <c r="J272" t="s">
        <v>286</v>
      </c>
      <c r="K272" t="s">
        <v>36</v>
      </c>
    </row>
    <row r="273" spans="1:11" x14ac:dyDescent="0.25">
      <c r="A273">
        <v>382</v>
      </c>
      <c r="B273" t="s">
        <v>295</v>
      </c>
      <c r="C273" t="s">
        <v>296</v>
      </c>
      <c r="D273" t="s">
        <v>363</v>
      </c>
      <c r="E273" t="s">
        <v>204</v>
      </c>
      <c r="F273" t="s">
        <v>205</v>
      </c>
      <c r="G273">
        <v>4</v>
      </c>
      <c r="H273">
        <v>18</v>
      </c>
      <c r="I273">
        <v>3</v>
      </c>
      <c r="J273" t="s">
        <v>304</v>
      </c>
      <c r="K273" t="s">
        <v>36</v>
      </c>
    </row>
    <row r="274" spans="1:11" x14ac:dyDescent="0.25">
      <c r="A274">
        <v>508</v>
      </c>
      <c r="B274" t="s">
        <v>114</v>
      </c>
      <c r="C274" t="s">
        <v>116</v>
      </c>
      <c r="D274" t="s">
        <v>363</v>
      </c>
      <c r="E274" t="s">
        <v>204</v>
      </c>
      <c r="F274" t="s">
        <v>205</v>
      </c>
      <c r="G274">
        <v>3</v>
      </c>
      <c r="H274">
        <v>18</v>
      </c>
      <c r="I274">
        <v>1</v>
      </c>
      <c r="J274" t="s">
        <v>286</v>
      </c>
      <c r="K274" t="s">
        <v>36</v>
      </c>
    </row>
    <row r="275" spans="1:11" x14ac:dyDescent="0.25">
      <c r="A275">
        <v>560</v>
      </c>
      <c r="B275" t="s">
        <v>81</v>
      </c>
      <c r="C275" t="s">
        <v>83</v>
      </c>
      <c r="D275" t="s">
        <v>363</v>
      </c>
      <c r="E275" t="s">
        <v>204</v>
      </c>
      <c r="F275" t="s">
        <v>205</v>
      </c>
      <c r="G275">
        <v>5</v>
      </c>
      <c r="H275">
        <v>18</v>
      </c>
      <c r="I275">
        <v>3</v>
      </c>
      <c r="J275" t="s">
        <v>349</v>
      </c>
      <c r="K275" t="s">
        <v>36</v>
      </c>
    </row>
    <row r="276" spans="1:11" x14ac:dyDescent="0.25">
      <c r="A276">
        <v>360</v>
      </c>
      <c r="B276" t="s">
        <v>109</v>
      </c>
      <c r="C276" t="s">
        <v>110</v>
      </c>
      <c r="D276" t="s">
        <v>364</v>
      </c>
      <c r="E276" t="s">
        <v>179</v>
      </c>
      <c r="F276" t="s">
        <v>180</v>
      </c>
      <c r="G276">
        <v>5</v>
      </c>
      <c r="H276">
        <v>12.25</v>
      </c>
      <c r="I276">
        <v>3</v>
      </c>
      <c r="J276" t="s">
        <v>349</v>
      </c>
      <c r="K276" t="s">
        <v>163</v>
      </c>
    </row>
    <row r="277" spans="1:11" x14ac:dyDescent="0.25">
      <c r="A277">
        <v>562</v>
      </c>
      <c r="B277" t="s">
        <v>81</v>
      </c>
      <c r="C277" t="s">
        <v>83</v>
      </c>
      <c r="D277" t="s">
        <v>364</v>
      </c>
      <c r="E277" t="s">
        <v>179</v>
      </c>
      <c r="F277" t="s">
        <v>180</v>
      </c>
      <c r="G277">
        <v>3</v>
      </c>
      <c r="H277">
        <v>12.25</v>
      </c>
      <c r="I277">
        <v>1</v>
      </c>
      <c r="J277" t="s">
        <v>286</v>
      </c>
      <c r="K277" t="s">
        <v>163</v>
      </c>
    </row>
    <row r="278" spans="1:11" x14ac:dyDescent="0.25">
      <c r="A278">
        <v>617</v>
      </c>
      <c r="B278" t="s">
        <v>85</v>
      </c>
      <c r="C278" t="s">
        <v>87</v>
      </c>
      <c r="D278" t="s">
        <v>364</v>
      </c>
      <c r="E278" t="s">
        <v>179</v>
      </c>
      <c r="F278" t="s">
        <v>180</v>
      </c>
      <c r="G278">
        <v>4</v>
      </c>
      <c r="H278">
        <v>12.25</v>
      </c>
      <c r="I278">
        <v>2</v>
      </c>
      <c r="J278" t="s">
        <v>307</v>
      </c>
      <c r="K278" t="s">
        <v>163</v>
      </c>
    </row>
    <row r="279" spans="1:11" x14ac:dyDescent="0.25">
      <c r="A279">
        <v>416</v>
      </c>
      <c r="B279" t="s">
        <v>125</v>
      </c>
      <c r="C279" t="s">
        <v>126</v>
      </c>
      <c r="D279" t="s">
        <v>365</v>
      </c>
      <c r="E279" t="s">
        <v>138</v>
      </c>
      <c r="F279" t="s">
        <v>139</v>
      </c>
      <c r="G279">
        <v>5</v>
      </c>
      <c r="H279">
        <v>19</v>
      </c>
      <c r="I279">
        <v>3</v>
      </c>
      <c r="J279" t="s">
        <v>349</v>
      </c>
      <c r="K279" t="s">
        <v>36</v>
      </c>
    </row>
    <row r="280" spans="1:11" x14ac:dyDescent="0.25">
      <c r="A280">
        <v>87</v>
      </c>
      <c r="B280" t="s">
        <v>37</v>
      </c>
      <c r="C280" t="s">
        <v>39</v>
      </c>
      <c r="D280" t="s">
        <v>366</v>
      </c>
      <c r="E280" t="s">
        <v>84</v>
      </c>
      <c r="F280" t="s">
        <v>86</v>
      </c>
      <c r="G280">
        <v>5</v>
      </c>
      <c r="H280">
        <v>20</v>
      </c>
      <c r="I280">
        <v>3</v>
      </c>
      <c r="J280" t="s">
        <v>349</v>
      </c>
      <c r="K280" t="s">
        <v>36</v>
      </c>
    </row>
    <row r="281" spans="1:11" x14ac:dyDescent="0.25">
      <c r="A281">
        <v>625</v>
      </c>
      <c r="B281" t="s">
        <v>85</v>
      </c>
      <c r="C281" t="s">
        <v>87</v>
      </c>
      <c r="D281" t="s">
        <v>366</v>
      </c>
      <c r="E281" t="s">
        <v>84</v>
      </c>
      <c r="F281" t="s">
        <v>86</v>
      </c>
      <c r="G281">
        <v>3</v>
      </c>
      <c r="H281">
        <v>20</v>
      </c>
      <c r="I281">
        <v>1</v>
      </c>
      <c r="J281" t="s">
        <v>286</v>
      </c>
      <c r="K281" t="s">
        <v>36</v>
      </c>
    </row>
    <row r="282" spans="1:11" x14ac:dyDescent="0.25">
      <c r="A282">
        <v>15</v>
      </c>
      <c r="B282" t="s">
        <v>141</v>
      </c>
      <c r="C282" t="s">
        <v>142</v>
      </c>
      <c r="D282" t="s">
        <v>367</v>
      </c>
      <c r="E282" t="s">
        <v>74</v>
      </c>
      <c r="F282" t="s">
        <v>76</v>
      </c>
      <c r="G282">
        <v>4</v>
      </c>
      <c r="H282">
        <v>21</v>
      </c>
      <c r="I282">
        <v>4</v>
      </c>
      <c r="J282" t="s">
        <v>297</v>
      </c>
      <c r="K282" t="s">
        <v>36</v>
      </c>
    </row>
    <row r="283" spans="1:11" x14ac:dyDescent="0.25">
      <c r="A283">
        <v>58</v>
      </c>
      <c r="B283" t="s">
        <v>268</v>
      </c>
      <c r="C283" t="s">
        <v>269</v>
      </c>
      <c r="D283" t="s">
        <v>367</v>
      </c>
      <c r="E283" t="s">
        <v>74</v>
      </c>
      <c r="F283" t="s">
        <v>76</v>
      </c>
      <c r="G283">
        <v>5</v>
      </c>
      <c r="H283">
        <v>21</v>
      </c>
      <c r="I283">
        <v>4</v>
      </c>
      <c r="J283" t="s">
        <v>297</v>
      </c>
      <c r="K283" t="s">
        <v>36</v>
      </c>
    </row>
    <row r="284" spans="1:11" x14ac:dyDescent="0.25">
      <c r="A284">
        <v>75</v>
      </c>
      <c r="B284" t="s">
        <v>37</v>
      </c>
      <c r="C284" t="s">
        <v>39</v>
      </c>
      <c r="D284" t="s">
        <v>367</v>
      </c>
      <c r="E284" t="s">
        <v>74</v>
      </c>
      <c r="F284" t="s">
        <v>76</v>
      </c>
      <c r="G284">
        <v>3</v>
      </c>
      <c r="H284">
        <v>21</v>
      </c>
      <c r="I284">
        <v>1</v>
      </c>
      <c r="J284" t="s">
        <v>286</v>
      </c>
      <c r="K284" t="s">
        <v>36</v>
      </c>
    </row>
    <row r="285" spans="1:11" x14ac:dyDescent="0.25">
      <c r="A285">
        <v>155</v>
      </c>
      <c r="B285" t="s">
        <v>60</v>
      </c>
      <c r="C285" t="s">
        <v>61</v>
      </c>
      <c r="D285" t="s">
        <v>367</v>
      </c>
      <c r="E285" t="s">
        <v>74</v>
      </c>
      <c r="F285" t="s">
        <v>76</v>
      </c>
      <c r="G285">
        <v>6</v>
      </c>
      <c r="H285">
        <v>21</v>
      </c>
      <c r="I285">
        <v>1</v>
      </c>
      <c r="J285" t="s">
        <v>316</v>
      </c>
      <c r="K285" t="s">
        <v>36</v>
      </c>
    </row>
    <row r="286" spans="1:11" x14ac:dyDescent="0.25">
      <c r="A286">
        <v>172</v>
      </c>
      <c r="B286" t="s">
        <v>63</v>
      </c>
      <c r="C286" t="s">
        <v>65</v>
      </c>
      <c r="D286" t="s">
        <v>367</v>
      </c>
      <c r="E286" t="s">
        <v>74</v>
      </c>
      <c r="F286" t="s">
        <v>76</v>
      </c>
      <c r="G286">
        <v>5</v>
      </c>
      <c r="H286">
        <v>21</v>
      </c>
      <c r="I286">
        <v>1</v>
      </c>
      <c r="J286" t="s">
        <v>316</v>
      </c>
      <c r="K286" t="s">
        <v>36</v>
      </c>
    </row>
    <row r="287" spans="1:11" x14ac:dyDescent="0.25">
      <c r="A287">
        <v>219</v>
      </c>
      <c r="B287" t="s">
        <v>107</v>
      </c>
      <c r="C287" t="s">
        <v>108</v>
      </c>
      <c r="D287" t="s">
        <v>367</v>
      </c>
      <c r="E287" t="s">
        <v>74</v>
      </c>
      <c r="F287" t="s">
        <v>76</v>
      </c>
      <c r="G287">
        <v>3</v>
      </c>
      <c r="H287">
        <v>21</v>
      </c>
      <c r="I287">
        <v>1</v>
      </c>
      <c r="J287" t="s">
        <v>286</v>
      </c>
      <c r="K287" t="s">
        <v>36</v>
      </c>
    </row>
    <row r="288" spans="1:11" x14ac:dyDescent="0.25">
      <c r="A288">
        <v>291</v>
      </c>
      <c r="B288" t="s">
        <v>75</v>
      </c>
      <c r="C288" t="s">
        <v>77</v>
      </c>
      <c r="D288" t="s">
        <v>367</v>
      </c>
      <c r="E288" t="s">
        <v>74</v>
      </c>
      <c r="F288" t="s">
        <v>76</v>
      </c>
      <c r="G288">
        <v>3</v>
      </c>
      <c r="H288">
        <v>21</v>
      </c>
      <c r="I288">
        <v>1</v>
      </c>
      <c r="J288" t="s">
        <v>286</v>
      </c>
      <c r="K288" t="s">
        <v>36</v>
      </c>
    </row>
    <row r="289" spans="1:11" x14ac:dyDescent="0.25">
      <c r="A289">
        <v>2</v>
      </c>
      <c r="B289" t="s">
        <v>119</v>
      </c>
      <c r="C289" t="s">
        <v>120</v>
      </c>
      <c r="D289" t="s">
        <v>368</v>
      </c>
      <c r="E289" t="s">
        <v>70</v>
      </c>
      <c r="F289" t="s">
        <v>71</v>
      </c>
      <c r="G289">
        <v>2</v>
      </c>
      <c r="H289">
        <v>22</v>
      </c>
      <c r="I289">
        <v>1</v>
      </c>
      <c r="J289" t="s">
        <v>286</v>
      </c>
      <c r="K289" t="s">
        <v>36</v>
      </c>
    </row>
    <row r="290" spans="1:11" x14ac:dyDescent="0.25">
      <c r="A290">
        <v>16</v>
      </c>
      <c r="B290" t="s">
        <v>141</v>
      </c>
      <c r="C290" t="s">
        <v>142</v>
      </c>
      <c r="D290" t="s">
        <v>368</v>
      </c>
      <c r="E290" t="s">
        <v>70</v>
      </c>
      <c r="F290" t="s">
        <v>71</v>
      </c>
      <c r="G290">
        <v>1</v>
      </c>
      <c r="H290">
        <v>22</v>
      </c>
      <c r="I290">
        <v>2</v>
      </c>
      <c r="J290" t="s">
        <v>307</v>
      </c>
      <c r="K290" t="s">
        <v>36</v>
      </c>
    </row>
    <row r="291" spans="1:11" x14ac:dyDescent="0.25">
      <c r="A291">
        <v>30</v>
      </c>
      <c r="B291" t="s">
        <v>143</v>
      </c>
      <c r="C291" t="s">
        <v>144</v>
      </c>
      <c r="D291" t="s">
        <v>368</v>
      </c>
      <c r="E291" t="s">
        <v>70</v>
      </c>
      <c r="F291" t="s">
        <v>71</v>
      </c>
      <c r="G291">
        <v>1</v>
      </c>
      <c r="H291">
        <v>22</v>
      </c>
      <c r="I291">
        <v>2</v>
      </c>
      <c r="J291" t="s">
        <v>307</v>
      </c>
      <c r="K291" t="s">
        <v>36</v>
      </c>
    </row>
    <row r="292" spans="1:11" x14ac:dyDescent="0.25">
      <c r="A292">
        <v>59</v>
      </c>
      <c r="B292" t="s">
        <v>268</v>
      </c>
      <c r="C292" t="s">
        <v>269</v>
      </c>
      <c r="D292" t="s">
        <v>368</v>
      </c>
      <c r="E292" t="s">
        <v>70</v>
      </c>
      <c r="F292" t="s">
        <v>71</v>
      </c>
      <c r="G292">
        <v>2</v>
      </c>
      <c r="H292">
        <v>22</v>
      </c>
      <c r="I292">
        <v>1</v>
      </c>
      <c r="J292" t="s">
        <v>286</v>
      </c>
      <c r="K292" t="s">
        <v>36</v>
      </c>
    </row>
    <row r="293" spans="1:11" x14ac:dyDescent="0.25">
      <c r="A293">
        <v>122</v>
      </c>
      <c r="B293" t="s">
        <v>47</v>
      </c>
      <c r="C293" t="s">
        <v>49</v>
      </c>
      <c r="D293" t="s">
        <v>368</v>
      </c>
      <c r="E293" t="s">
        <v>70</v>
      </c>
      <c r="F293" t="s">
        <v>71</v>
      </c>
      <c r="G293">
        <v>3</v>
      </c>
      <c r="H293">
        <v>22</v>
      </c>
      <c r="I293">
        <v>1</v>
      </c>
      <c r="J293" t="s">
        <v>286</v>
      </c>
      <c r="K293" t="s">
        <v>36</v>
      </c>
    </row>
    <row r="294" spans="1:11" x14ac:dyDescent="0.25">
      <c r="A294">
        <v>173</v>
      </c>
      <c r="B294" t="s">
        <v>63</v>
      </c>
      <c r="C294" t="s">
        <v>65</v>
      </c>
      <c r="D294" t="s">
        <v>368</v>
      </c>
      <c r="E294" t="s">
        <v>70</v>
      </c>
      <c r="F294" t="s">
        <v>71</v>
      </c>
      <c r="G294">
        <v>5</v>
      </c>
      <c r="H294">
        <v>22</v>
      </c>
      <c r="I294">
        <v>1</v>
      </c>
      <c r="J294" t="s">
        <v>316</v>
      </c>
      <c r="K294" t="s">
        <v>36</v>
      </c>
    </row>
    <row r="295" spans="1:11" x14ac:dyDescent="0.25">
      <c r="A295">
        <v>196</v>
      </c>
      <c r="B295" t="s">
        <v>72</v>
      </c>
      <c r="C295" t="s">
        <v>73</v>
      </c>
      <c r="D295" t="s">
        <v>368</v>
      </c>
      <c r="E295" t="s">
        <v>70</v>
      </c>
      <c r="F295" t="s">
        <v>71</v>
      </c>
      <c r="G295">
        <v>7</v>
      </c>
      <c r="H295">
        <v>22</v>
      </c>
      <c r="I295">
        <v>4</v>
      </c>
      <c r="J295" t="s">
        <v>297</v>
      </c>
      <c r="K295" t="s">
        <v>36</v>
      </c>
    </row>
    <row r="296" spans="1:11" x14ac:dyDescent="0.25">
      <c r="A296">
        <v>220</v>
      </c>
      <c r="B296" t="s">
        <v>107</v>
      </c>
      <c r="C296" t="s">
        <v>108</v>
      </c>
      <c r="D296" t="s">
        <v>368</v>
      </c>
      <c r="E296" t="s">
        <v>70</v>
      </c>
      <c r="F296" t="s">
        <v>71</v>
      </c>
      <c r="G296">
        <v>4</v>
      </c>
      <c r="H296">
        <v>22</v>
      </c>
      <c r="I296">
        <v>2</v>
      </c>
      <c r="J296" t="s">
        <v>307</v>
      </c>
      <c r="K296" t="s">
        <v>36</v>
      </c>
    </row>
    <row r="297" spans="1:11" x14ac:dyDescent="0.25">
      <c r="A297">
        <v>255</v>
      </c>
      <c r="B297" t="s">
        <v>98</v>
      </c>
      <c r="C297" t="s">
        <v>100</v>
      </c>
      <c r="D297" t="s">
        <v>368</v>
      </c>
      <c r="E297" t="s">
        <v>70</v>
      </c>
      <c r="F297" t="s">
        <v>71</v>
      </c>
      <c r="G297">
        <v>4</v>
      </c>
      <c r="H297">
        <v>22</v>
      </c>
      <c r="I297">
        <v>2</v>
      </c>
      <c r="J297" t="s">
        <v>307</v>
      </c>
      <c r="K297" t="s">
        <v>36</v>
      </c>
    </row>
    <row r="298" spans="1:11" x14ac:dyDescent="0.25">
      <c r="A298">
        <v>292</v>
      </c>
      <c r="B298" t="s">
        <v>75</v>
      </c>
      <c r="C298" t="s">
        <v>77</v>
      </c>
      <c r="D298" t="s">
        <v>368</v>
      </c>
      <c r="E298" t="s">
        <v>70</v>
      </c>
      <c r="F298" t="s">
        <v>71</v>
      </c>
      <c r="G298">
        <v>3</v>
      </c>
      <c r="H298">
        <v>22</v>
      </c>
      <c r="I298">
        <v>1</v>
      </c>
      <c r="J298" t="s">
        <v>286</v>
      </c>
      <c r="K298" t="s">
        <v>36</v>
      </c>
    </row>
    <row r="299" spans="1:11" x14ac:dyDescent="0.25">
      <c r="A299">
        <v>339</v>
      </c>
      <c r="B299" t="s">
        <v>109</v>
      </c>
      <c r="C299" t="s">
        <v>110</v>
      </c>
      <c r="D299" t="s">
        <v>368</v>
      </c>
      <c r="E299" t="s">
        <v>70</v>
      </c>
      <c r="F299" t="s">
        <v>71</v>
      </c>
      <c r="G299">
        <v>4</v>
      </c>
      <c r="H299">
        <v>22</v>
      </c>
      <c r="I299">
        <v>2</v>
      </c>
      <c r="J299" t="s">
        <v>307</v>
      </c>
      <c r="K299" t="s">
        <v>36</v>
      </c>
    </row>
    <row r="300" spans="1:11" x14ac:dyDescent="0.25">
      <c r="A300">
        <v>485</v>
      </c>
      <c r="B300" t="s">
        <v>114</v>
      </c>
      <c r="C300" t="s">
        <v>116</v>
      </c>
      <c r="D300" t="s">
        <v>368</v>
      </c>
      <c r="E300" t="s">
        <v>70</v>
      </c>
      <c r="F300" t="s">
        <v>71</v>
      </c>
      <c r="G300">
        <v>5</v>
      </c>
      <c r="H300">
        <v>22</v>
      </c>
      <c r="I300">
        <v>3</v>
      </c>
      <c r="J300" t="s">
        <v>349</v>
      </c>
      <c r="K300" t="s">
        <v>36</v>
      </c>
    </row>
    <row r="301" spans="1:11" x14ac:dyDescent="0.25">
      <c r="A301">
        <v>540</v>
      </c>
      <c r="B301" t="s">
        <v>81</v>
      </c>
      <c r="C301" t="s">
        <v>83</v>
      </c>
      <c r="D301" t="s">
        <v>368</v>
      </c>
      <c r="E301" t="s">
        <v>70</v>
      </c>
      <c r="F301" t="s">
        <v>71</v>
      </c>
      <c r="G301">
        <v>7</v>
      </c>
      <c r="H301">
        <v>22</v>
      </c>
      <c r="I301">
        <v>4</v>
      </c>
      <c r="J301" t="s">
        <v>297</v>
      </c>
      <c r="K301" t="s">
        <v>36</v>
      </c>
    </row>
    <row r="302" spans="1:11" x14ac:dyDescent="0.25">
      <c r="A302">
        <v>596</v>
      </c>
      <c r="B302" t="s">
        <v>85</v>
      </c>
      <c r="C302" t="s">
        <v>87</v>
      </c>
      <c r="D302" t="s">
        <v>368</v>
      </c>
      <c r="E302" t="s">
        <v>70</v>
      </c>
      <c r="F302" t="s">
        <v>71</v>
      </c>
      <c r="G302">
        <v>3</v>
      </c>
      <c r="H302">
        <v>22</v>
      </c>
      <c r="I302">
        <v>1</v>
      </c>
      <c r="J302" t="s">
        <v>286</v>
      </c>
      <c r="K302" t="s">
        <v>36</v>
      </c>
    </row>
    <row r="303" spans="1:11" x14ac:dyDescent="0.25">
      <c r="A303">
        <v>92</v>
      </c>
      <c r="B303" t="s">
        <v>89</v>
      </c>
      <c r="C303" t="s">
        <v>90</v>
      </c>
      <c r="D303" t="s">
        <v>369</v>
      </c>
      <c r="E303" t="s">
        <v>50</v>
      </c>
      <c r="F303" t="s">
        <v>51</v>
      </c>
      <c r="G303">
        <v>3</v>
      </c>
      <c r="H303">
        <v>23</v>
      </c>
      <c r="I303">
        <v>1</v>
      </c>
      <c r="J303" t="s">
        <v>286</v>
      </c>
      <c r="K303" t="s">
        <v>36</v>
      </c>
    </row>
    <row r="304" spans="1:11" x14ac:dyDescent="0.25">
      <c r="A304">
        <v>108</v>
      </c>
      <c r="B304" t="s">
        <v>43</v>
      </c>
      <c r="C304" t="s">
        <v>45</v>
      </c>
      <c r="D304" t="s">
        <v>369</v>
      </c>
      <c r="E304" t="s">
        <v>50</v>
      </c>
      <c r="F304" t="s">
        <v>51</v>
      </c>
      <c r="G304">
        <v>3</v>
      </c>
      <c r="H304">
        <v>23</v>
      </c>
      <c r="I304">
        <v>1</v>
      </c>
      <c r="J304" t="s">
        <v>286</v>
      </c>
      <c r="K304" t="s">
        <v>36</v>
      </c>
    </row>
    <row r="305" spans="1:11" x14ac:dyDescent="0.25">
      <c r="A305">
        <v>124</v>
      </c>
      <c r="B305" t="s">
        <v>47</v>
      </c>
      <c r="C305" t="s">
        <v>49</v>
      </c>
      <c r="D305" t="s">
        <v>369</v>
      </c>
      <c r="E305" t="s">
        <v>50</v>
      </c>
      <c r="F305" t="s">
        <v>51</v>
      </c>
      <c r="G305">
        <v>3</v>
      </c>
      <c r="H305">
        <v>23</v>
      </c>
      <c r="I305">
        <v>1</v>
      </c>
      <c r="J305" t="s">
        <v>286</v>
      </c>
      <c r="K305" t="s">
        <v>36</v>
      </c>
    </row>
    <row r="306" spans="1:11" x14ac:dyDescent="0.25">
      <c r="A306">
        <v>141</v>
      </c>
      <c r="B306" t="s">
        <v>53</v>
      </c>
      <c r="C306" t="s">
        <v>55</v>
      </c>
      <c r="D306" t="s">
        <v>369</v>
      </c>
      <c r="E306" t="s">
        <v>50</v>
      </c>
      <c r="F306" t="s">
        <v>51</v>
      </c>
      <c r="G306">
        <v>3</v>
      </c>
      <c r="H306">
        <v>23</v>
      </c>
      <c r="I306">
        <v>1</v>
      </c>
      <c r="J306" t="s">
        <v>286</v>
      </c>
      <c r="K306" t="s">
        <v>36</v>
      </c>
    </row>
    <row r="307" spans="1:11" x14ac:dyDescent="0.25">
      <c r="A307">
        <v>198</v>
      </c>
      <c r="B307" t="s">
        <v>72</v>
      </c>
      <c r="C307" t="s">
        <v>73</v>
      </c>
      <c r="D307" t="s">
        <v>369</v>
      </c>
      <c r="E307" t="s">
        <v>50</v>
      </c>
      <c r="F307" t="s">
        <v>51</v>
      </c>
      <c r="G307">
        <v>4</v>
      </c>
      <c r="H307">
        <v>23</v>
      </c>
      <c r="I307">
        <v>2</v>
      </c>
      <c r="J307" t="s">
        <v>307</v>
      </c>
      <c r="K307" t="s">
        <v>36</v>
      </c>
    </row>
    <row r="308" spans="1:11" x14ac:dyDescent="0.25">
      <c r="A308">
        <v>258</v>
      </c>
      <c r="B308" t="s">
        <v>98</v>
      </c>
      <c r="C308" t="s">
        <v>100</v>
      </c>
      <c r="D308" t="s">
        <v>369</v>
      </c>
      <c r="E308" t="s">
        <v>50</v>
      </c>
      <c r="F308" t="s">
        <v>51</v>
      </c>
      <c r="G308">
        <v>7</v>
      </c>
      <c r="H308">
        <v>23</v>
      </c>
      <c r="I308">
        <v>4</v>
      </c>
      <c r="J308" t="s">
        <v>297</v>
      </c>
      <c r="K308" t="s">
        <v>36</v>
      </c>
    </row>
    <row r="309" spans="1:11" x14ac:dyDescent="0.25">
      <c r="A309">
        <v>294</v>
      </c>
      <c r="B309" t="s">
        <v>75</v>
      </c>
      <c r="C309" t="s">
        <v>77</v>
      </c>
      <c r="D309" t="s">
        <v>369</v>
      </c>
      <c r="E309" t="s">
        <v>50</v>
      </c>
      <c r="F309" t="s">
        <v>51</v>
      </c>
      <c r="G309">
        <v>3</v>
      </c>
      <c r="H309">
        <v>23</v>
      </c>
      <c r="I309">
        <v>1</v>
      </c>
      <c r="J309" t="s">
        <v>286</v>
      </c>
      <c r="K309" t="s">
        <v>36</v>
      </c>
    </row>
    <row r="310" spans="1:11" x14ac:dyDescent="0.25">
      <c r="A310">
        <v>5</v>
      </c>
      <c r="B310" t="s">
        <v>119</v>
      </c>
      <c r="C310" t="s">
        <v>120</v>
      </c>
      <c r="D310" t="s">
        <v>370</v>
      </c>
      <c r="E310" t="s">
        <v>159</v>
      </c>
      <c r="F310" t="s">
        <v>160</v>
      </c>
      <c r="G310">
        <v>3</v>
      </c>
      <c r="H310">
        <v>5.875</v>
      </c>
      <c r="I310">
        <v>1</v>
      </c>
      <c r="J310" t="s">
        <v>286</v>
      </c>
      <c r="K310" t="s">
        <v>146</v>
      </c>
    </row>
    <row r="311" spans="1:11" x14ac:dyDescent="0.25">
      <c r="A311">
        <v>47</v>
      </c>
      <c r="B311" t="s">
        <v>266</v>
      </c>
      <c r="C311" t="s">
        <v>267</v>
      </c>
      <c r="D311" t="s">
        <v>370</v>
      </c>
      <c r="E311" t="s">
        <v>159</v>
      </c>
      <c r="F311" t="s">
        <v>160</v>
      </c>
      <c r="G311">
        <v>3</v>
      </c>
      <c r="H311">
        <v>5.875</v>
      </c>
      <c r="I311">
        <v>1</v>
      </c>
      <c r="J311" t="s">
        <v>286</v>
      </c>
      <c r="K311" t="s">
        <v>146</v>
      </c>
    </row>
    <row r="312" spans="1:11" x14ac:dyDescent="0.25">
      <c r="A312">
        <v>93</v>
      </c>
      <c r="B312" t="s">
        <v>89</v>
      </c>
      <c r="C312" t="s">
        <v>90</v>
      </c>
      <c r="D312" t="s">
        <v>370</v>
      </c>
      <c r="E312" t="s">
        <v>159</v>
      </c>
      <c r="F312" t="s">
        <v>160</v>
      </c>
      <c r="G312">
        <v>6</v>
      </c>
      <c r="H312">
        <v>5.875</v>
      </c>
      <c r="I312">
        <v>4</v>
      </c>
      <c r="J312" t="s">
        <v>297</v>
      </c>
      <c r="K312" t="s">
        <v>146</v>
      </c>
    </row>
    <row r="313" spans="1:11" x14ac:dyDescent="0.25">
      <c r="A313">
        <v>109</v>
      </c>
      <c r="B313" t="s">
        <v>43</v>
      </c>
      <c r="C313" t="s">
        <v>45</v>
      </c>
      <c r="D313" t="s">
        <v>370</v>
      </c>
      <c r="E313" t="s">
        <v>159</v>
      </c>
      <c r="F313" t="s">
        <v>160</v>
      </c>
      <c r="G313">
        <v>3</v>
      </c>
      <c r="H313">
        <v>5.875</v>
      </c>
      <c r="I313">
        <v>1</v>
      </c>
      <c r="J313" t="s">
        <v>286</v>
      </c>
      <c r="K313" t="s">
        <v>146</v>
      </c>
    </row>
    <row r="314" spans="1:11" x14ac:dyDescent="0.25">
      <c r="A314">
        <v>142</v>
      </c>
      <c r="B314" t="s">
        <v>53</v>
      </c>
      <c r="C314" t="s">
        <v>55</v>
      </c>
      <c r="D314" t="s">
        <v>370</v>
      </c>
      <c r="E314" t="s">
        <v>159</v>
      </c>
      <c r="F314" t="s">
        <v>160</v>
      </c>
      <c r="G314">
        <v>3</v>
      </c>
      <c r="H314">
        <v>5.875</v>
      </c>
      <c r="I314">
        <v>1</v>
      </c>
      <c r="J314" t="s">
        <v>286</v>
      </c>
      <c r="K314" t="s">
        <v>146</v>
      </c>
    </row>
    <row r="315" spans="1:11" x14ac:dyDescent="0.25">
      <c r="A315">
        <v>176</v>
      </c>
      <c r="B315" t="s">
        <v>63</v>
      </c>
      <c r="C315" t="s">
        <v>65</v>
      </c>
      <c r="D315" t="s">
        <v>370</v>
      </c>
      <c r="E315" t="s">
        <v>159</v>
      </c>
      <c r="F315" t="s">
        <v>160</v>
      </c>
      <c r="G315">
        <v>3</v>
      </c>
      <c r="H315">
        <v>5.875</v>
      </c>
      <c r="I315">
        <v>1</v>
      </c>
      <c r="J315" t="s">
        <v>286</v>
      </c>
      <c r="K315" t="s">
        <v>146</v>
      </c>
    </row>
    <row r="316" spans="1:11" x14ac:dyDescent="0.25">
      <c r="A316">
        <v>296</v>
      </c>
      <c r="B316" t="s">
        <v>75</v>
      </c>
      <c r="C316" t="s">
        <v>77</v>
      </c>
      <c r="D316" t="s">
        <v>370</v>
      </c>
      <c r="E316" t="s">
        <v>159</v>
      </c>
      <c r="F316" t="s">
        <v>160</v>
      </c>
      <c r="G316">
        <v>4</v>
      </c>
      <c r="H316">
        <v>5.875</v>
      </c>
      <c r="I316">
        <v>2</v>
      </c>
      <c r="J316" t="s">
        <v>307</v>
      </c>
      <c r="K316" t="s">
        <v>146</v>
      </c>
    </row>
    <row r="317" spans="1:11" x14ac:dyDescent="0.25">
      <c r="A317">
        <v>439</v>
      </c>
      <c r="B317" t="s">
        <v>78</v>
      </c>
      <c r="C317" t="s">
        <v>79</v>
      </c>
      <c r="D317" t="s">
        <v>370</v>
      </c>
      <c r="E317" t="s">
        <v>159</v>
      </c>
      <c r="F317" t="s">
        <v>160</v>
      </c>
      <c r="G317">
        <v>4</v>
      </c>
      <c r="H317">
        <v>5.875</v>
      </c>
      <c r="I317">
        <v>2</v>
      </c>
      <c r="J317" t="s">
        <v>307</v>
      </c>
      <c r="K317" t="s">
        <v>146</v>
      </c>
    </row>
    <row r="318" spans="1:11" x14ac:dyDescent="0.25">
      <c r="A318">
        <v>489</v>
      </c>
      <c r="B318" t="s">
        <v>114</v>
      </c>
      <c r="C318" t="s">
        <v>116</v>
      </c>
      <c r="D318" t="s">
        <v>370</v>
      </c>
      <c r="E318" t="s">
        <v>159</v>
      </c>
      <c r="F318" t="s">
        <v>160</v>
      </c>
      <c r="G318">
        <v>4</v>
      </c>
      <c r="H318">
        <v>5.875</v>
      </c>
      <c r="I318">
        <v>2</v>
      </c>
      <c r="J318" t="s">
        <v>307</v>
      </c>
      <c r="K318" t="s">
        <v>146</v>
      </c>
    </row>
    <row r="319" spans="1:11" x14ac:dyDescent="0.25">
      <c r="A319">
        <v>575</v>
      </c>
      <c r="B319" t="s">
        <v>305</v>
      </c>
      <c r="C319" t="s">
        <v>306</v>
      </c>
      <c r="D319" t="s">
        <v>370</v>
      </c>
      <c r="E319" t="s">
        <v>159</v>
      </c>
      <c r="F319" t="s">
        <v>160</v>
      </c>
      <c r="G319">
        <v>3</v>
      </c>
      <c r="H319">
        <v>5.875</v>
      </c>
      <c r="I319">
        <v>1</v>
      </c>
      <c r="J319" t="s">
        <v>286</v>
      </c>
      <c r="K319" t="s">
        <v>146</v>
      </c>
    </row>
    <row r="320" spans="1:11" x14ac:dyDescent="0.25">
      <c r="A320">
        <v>68</v>
      </c>
      <c r="B320" t="s">
        <v>268</v>
      </c>
      <c r="C320" t="s">
        <v>269</v>
      </c>
      <c r="D320" t="s">
        <v>371</v>
      </c>
      <c r="E320" t="s">
        <v>151</v>
      </c>
      <c r="F320" t="s">
        <v>154</v>
      </c>
      <c r="G320">
        <v>2</v>
      </c>
      <c r="H320">
        <v>10.45</v>
      </c>
      <c r="I320">
        <v>1</v>
      </c>
      <c r="J320" t="s">
        <v>286</v>
      </c>
      <c r="K320" t="s">
        <v>153</v>
      </c>
    </row>
    <row r="321" spans="1:11" x14ac:dyDescent="0.25">
      <c r="A321">
        <v>213</v>
      </c>
      <c r="B321" t="s">
        <v>72</v>
      </c>
      <c r="C321" t="s">
        <v>73</v>
      </c>
      <c r="D321" t="s">
        <v>371</v>
      </c>
      <c r="E321" t="s">
        <v>151</v>
      </c>
      <c r="F321" t="s">
        <v>154</v>
      </c>
      <c r="G321">
        <v>3</v>
      </c>
      <c r="H321">
        <v>10.5</v>
      </c>
      <c r="I321">
        <v>1</v>
      </c>
      <c r="J321" t="s">
        <v>286</v>
      </c>
      <c r="K321" t="s">
        <v>153</v>
      </c>
    </row>
    <row r="322" spans="1:11" x14ac:dyDescent="0.25">
      <c r="A322">
        <v>233</v>
      </c>
      <c r="B322" t="s">
        <v>107</v>
      </c>
      <c r="C322" t="s">
        <v>108</v>
      </c>
      <c r="D322" t="s">
        <v>371</v>
      </c>
      <c r="E322" t="s">
        <v>151</v>
      </c>
      <c r="F322" t="s">
        <v>154</v>
      </c>
      <c r="G322">
        <v>3</v>
      </c>
      <c r="H322">
        <v>10.5</v>
      </c>
      <c r="I322">
        <v>1</v>
      </c>
      <c r="J322" t="s">
        <v>286</v>
      </c>
      <c r="K322" t="s">
        <v>153</v>
      </c>
    </row>
    <row r="323" spans="1:11" x14ac:dyDescent="0.25">
      <c r="A323">
        <v>273</v>
      </c>
      <c r="B323" t="s">
        <v>98</v>
      </c>
      <c r="C323" t="s">
        <v>100</v>
      </c>
      <c r="D323" t="s">
        <v>371</v>
      </c>
      <c r="E323" t="s">
        <v>151</v>
      </c>
      <c r="F323" t="s">
        <v>154</v>
      </c>
      <c r="G323">
        <v>3</v>
      </c>
      <c r="H323">
        <v>10.5</v>
      </c>
      <c r="I323">
        <v>1</v>
      </c>
      <c r="J323" t="s">
        <v>286</v>
      </c>
      <c r="K323" t="s">
        <v>153</v>
      </c>
    </row>
    <row r="324" spans="1:11" x14ac:dyDescent="0.25">
      <c r="A324">
        <v>317</v>
      </c>
      <c r="B324" t="s">
        <v>75</v>
      </c>
      <c r="C324" t="s">
        <v>77</v>
      </c>
      <c r="D324" t="s">
        <v>371</v>
      </c>
      <c r="E324" t="s">
        <v>151</v>
      </c>
      <c r="F324" t="s">
        <v>154</v>
      </c>
      <c r="G324">
        <v>3</v>
      </c>
      <c r="H324">
        <v>10.5</v>
      </c>
      <c r="I324">
        <v>1</v>
      </c>
      <c r="J324" t="s">
        <v>286</v>
      </c>
      <c r="K324" t="s">
        <v>153</v>
      </c>
    </row>
    <row r="325" spans="1:11" x14ac:dyDescent="0.25">
      <c r="A325">
        <v>363</v>
      </c>
      <c r="B325" t="s">
        <v>109</v>
      </c>
      <c r="C325" t="s">
        <v>110</v>
      </c>
      <c r="D325" t="s">
        <v>371</v>
      </c>
      <c r="E325" t="s">
        <v>151</v>
      </c>
      <c r="F325" t="s">
        <v>154</v>
      </c>
      <c r="G325">
        <v>7</v>
      </c>
      <c r="H325">
        <v>10.5</v>
      </c>
      <c r="I325">
        <v>4</v>
      </c>
      <c r="J325" t="s">
        <v>297</v>
      </c>
      <c r="K325" t="s">
        <v>153</v>
      </c>
    </row>
    <row r="326" spans="1:11" x14ac:dyDescent="0.25">
      <c r="A326">
        <v>383</v>
      </c>
      <c r="B326" t="s">
        <v>295</v>
      </c>
      <c r="C326" t="s">
        <v>296</v>
      </c>
      <c r="D326" t="s">
        <v>371</v>
      </c>
      <c r="E326" t="s">
        <v>151</v>
      </c>
      <c r="F326" t="s">
        <v>154</v>
      </c>
      <c r="G326">
        <v>3</v>
      </c>
      <c r="H326">
        <v>10.5</v>
      </c>
      <c r="I326">
        <v>1</v>
      </c>
      <c r="J326" t="s">
        <v>286</v>
      </c>
      <c r="K326" t="s">
        <v>153</v>
      </c>
    </row>
    <row r="327" spans="1:11" x14ac:dyDescent="0.25">
      <c r="A327">
        <v>409</v>
      </c>
      <c r="B327" t="s">
        <v>125</v>
      </c>
      <c r="C327" t="s">
        <v>126</v>
      </c>
      <c r="D327" t="s">
        <v>371</v>
      </c>
      <c r="E327" t="s">
        <v>151</v>
      </c>
      <c r="F327" t="s">
        <v>154</v>
      </c>
      <c r="G327">
        <v>3</v>
      </c>
      <c r="H327">
        <v>10.5</v>
      </c>
      <c r="I327">
        <v>1</v>
      </c>
      <c r="J327" t="s">
        <v>286</v>
      </c>
      <c r="K327" t="s">
        <v>153</v>
      </c>
    </row>
    <row r="328" spans="1:11" x14ac:dyDescent="0.25">
      <c r="A328">
        <v>461</v>
      </c>
      <c r="B328" t="s">
        <v>78</v>
      </c>
      <c r="C328" t="s">
        <v>79</v>
      </c>
      <c r="D328" t="s">
        <v>371</v>
      </c>
      <c r="E328" t="s">
        <v>151</v>
      </c>
      <c r="F328" t="s">
        <v>154</v>
      </c>
      <c r="G328">
        <v>4</v>
      </c>
      <c r="H328">
        <v>10.5</v>
      </c>
      <c r="I328">
        <v>2</v>
      </c>
      <c r="J328" t="s">
        <v>307</v>
      </c>
      <c r="K328" t="s">
        <v>153</v>
      </c>
    </row>
    <row r="329" spans="1:11" x14ac:dyDescent="0.25">
      <c r="A329">
        <v>509</v>
      </c>
      <c r="B329" t="s">
        <v>114</v>
      </c>
      <c r="C329" t="s">
        <v>116</v>
      </c>
      <c r="D329" t="s">
        <v>371</v>
      </c>
      <c r="E329" t="s">
        <v>151</v>
      </c>
      <c r="F329" t="s">
        <v>154</v>
      </c>
      <c r="G329">
        <v>3</v>
      </c>
      <c r="H329">
        <v>10.5</v>
      </c>
      <c r="I329">
        <v>1</v>
      </c>
      <c r="J329" t="s">
        <v>286</v>
      </c>
      <c r="K329" t="s">
        <v>153</v>
      </c>
    </row>
    <row r="330" spans="1:11" x14ac:dyDescent="0.25">
      <c r="A330">
        <v>532</v>
      </c>
      <c r="B330" t="s">
        <v>302</v>
      </c>
      <c r="C330" t="s">
        <v>303</v>
      </c>
      <c r="D330" t="s">
        <v>371</v>
      </c>
      <c r="E330" t="s">
        <v>151</v>
      </c>
      <c r="F330" t="s">
        <v>154</v>
      </c>
      <c r="G330">
        <v>4</v>
      </c>
      <c r="H330">
        <v>10.5</v>
      </c>
      <c r="I330">
        <v>2</v>
      </c>
      <c r="J330" t="s">
        <v>307</v>
      </c>
      <c r="K330" t="s">
        <v>153</v>
      </c>
    </row>
    <row r="331" spans="1:11" x14ac:dyDescent="0.25">
      <c r="A331">
        <v>564</v>
      </c>
      <c r="B331" t="s">
        <v>81</v>
      </c>
      <c r="C331" t="s">
        <v>83</v>
      </c>
      <c r="D331" t="s">
        <v>371</v>
      </c>
      <c r="E331" t="s">
        <v>151</v>
      </c>
      <c r="F331" t="s">
        <v>154</v>
      </c>
      <c r="G331">
        <v>3</v>
      </c>
      <c r="H331">
        <v>10.5</v>
      </c>
      <c r="I331">
        <v>1</v>
      </c>
      <c r="J331" t="s">
        <v>286</v>
      </c>
      <c r="K331" t="s">
        <v>153</v>
      </c>
    </row>
    <row r="332" spans="1:11" x14ac:dyDescent="0.25">
      <c r="A332">
        <v>589</v>
      </c>
      <c r="B332" t="s">
        <v>305</v>
      </c>
      <c r="C332" t="s">
        <v>306</v>
      </c>
      <c r="D332" t="s">
        <v>371</v>
      </c>
      <c r="E332" t="s">
        <v>151</v>
      </c>
      <c r="F332" t="s">
        <v>154</v>
      </c>
      <c r="G332">
        <v>3</v>
      </c>
      <c r="H332">
        <v>10.5</v>
      </c>
      <c r="I332">
        <v>1</v>
      </c>
      <c r="J332" t="s">
        <v>286</v>
      </c>
      <c r="K332" t="s">
        <v>153</v>
      </c>
    </row>
    <row r="333" spans="1:11" x14ac:dyDescent="0.25">
      <c r="A333">
        <v>619</v>
      </c>
      <c r="B333" t="s">
        <v>85</v>
      </c>
      <c r="C333" t="s">
        <v>87</v>
      </c>
      <c r="D333" t="s">
        <v>371</v>
      </c>
      <c r="E333" t="s">
        <v>151</v>
      </c>
      <c r="F333" t="s">
        <v>154</v>
      </c>
      <c r="G333">
        <v>4</v>
      </c>
      <c r="H333">
        <v>10.5</v>
      </c>
      <c r="I333">
        <v>2</v>
      </c>
      <c r="J333" t="s">
        <v>307</v>
      </c>
      <c r="K333" t="s">
        <v>153</v>
      </c>
    </row>
    <row r="334" spans="1:11" x14ac:dyDescent="0.25">
      <c r="A334">
        <v>131</v>
      </c>
      <c r="B334" t="s">
        <v>47</v>
      </c>
      <c r="C334" t="s">
        <v>49</v>
      </c>
      <c r="D334" t="s">
        <v>372</v>
      </c>
      <c r="E334" t="s">
        <v>161</v>
      </c>
      <c r="F334" t="s">
        <v>164</v>
      </c>
      <c r="G334">
        <v>3</v>
      </c>
      <c r="H334">
        <v>13.3</v>
      </c>
      <c r="I334">
        <v>1</v>
      </c>
      <c r="J334" t="s">
        <v>286</v>
      </c>
      <c r="K334" t="s">
        <v>163</v>
      </c>
    </row>
    <row r="335" spans="1:11" x14ac:dyDescent="0.25">
      <c r="A335">
        <v>207</v>
      </c>
      <c r="B335" t="s">
        <v>72</v>
      </c>
      <c r="C335" t="s">
        <v>73</v>
      </c>
      <c r="D335" t="s">
        <v>372</v>
      </c>
      <c r="E335" t="s">
        <v>161</v>
      </c>
      <c r="F335" t="s">
        <v>164</v>
      </c>
      <c r="G335">
        <v>4</v>
      </c>
      <c r="H335">
        <v>13.3</v>
      </c>
      <c r="I335">
        <v>2</v>
      </c>
      <c r="J335" t="s">
        <v>307</v>
      </c>
      <c r="K335" t="s">
        <v>163</v>
      </c>
    </row>
    <row r="336" spans="1:11" x14ac:dyDescent="0.25">
      <c r="A336">
        <v>265</v>
      </c>
      <c r="B336" t="s">
        <v>98</v>
      </c>
      <c r="C336" t="s">
        <v>100</v>
      </c>
      <c r="D336" t="s">
        <v>372</v>
      </c>
      <c r="E336" t="s">
        <v>161</v>
      </c>
      <c r="F336" t="s">
        <v>164</v>
      </c>
      <c r="G336">
        <v>3</v>
      </c>
      <c r="H336">
        <v>13.3</v>
      </c>
      <c r="I336">
        <v>1</v>
      </c>
      <c r="J336" t="s">
        <v>286</v>
      </c>
      <c r="K336" t="s">
        <v>163</v>
      </c>
    </row>
    <row r="337" spans="1:11" x14ac:dyDescent="0.25">
      <c r="A337">
        <v>308</v>
      </c>
      <c r="B337" t="s">
        <v>75</v>
      </c>
      <c r="C337" t="s">
        <v>77</v>
      </c>
      <c r="D337" t="s">
        <v>372</v>
      </c>
      <c r="E337" t="s">
        <v>161</v>
      </c>
      <c r="F337" t="s">
        <v>164</v>
      </c>
      <c r="G337">
        <v>3</v>
      </c>
      <c r="H337">
        <v>13.3</v>
      </c>
      <c r="I337">
        <v>1</v>
      </c>
      <c r="J337" t="s">
        <v>286</v>
      </c>
      <c r="K337" t="s">
        <v>163</v>
      </c>
    </row>
    <row r="338" spans="1:11" x14ac:dyDescent="0.25">
      <c r="A338">
        <v>554</v>
      </c>
      <c r="B338" t="s">
        <v>81</v>
      </c>
      <c r="C338" t="s">
        <v>83</v>
      </c>
      <c r="D338" t="s">
        <v>372</v>
      </c>
      <c r="E338" t="s">
        <v>161</v>
      </c>
      <c r="F338" t="s">
        <v>164</v>
      </c>
      <c r="G338">
        <v>3</v>
      </c>
      <c r="H338">
        <v>13.3</v>
      </c>
      <c r="I338">
        <v>1</v>
      </c>
      <c r="J338" t="s">
        <v>286</v>
      </c>
      <c r="K338" t="s">
        <v>163</v>
      </c>
    </row>
    <row r="339" spans="1:11" x14ac:dyDescent="0.25">
      <c r="A339">
        <v>611</v>
      </c>
      <c r="B339" t="s">
        <v>85</v>
      </c>
      <c r="C339" t="s">
        <v>87</v>
      </c>
      <c r="D339" t="s">
        <v>372</v>
      </c>
      <c r="E339" t="s">
        <v>161</v>
      </c>
      <c r="F339" t="s">
        <v>164</v>
      </c>
      <c r="G339">
        <v>7</v>
      </c>
      <c r="H339">
        <v>13.3</v>
      </c>
      <c r="I339">
        <v>4</v>
      </c>
      <c r="J339" t="s">
        <v>297</v>
      </c>
      <c r="K339" t="s">
        <v>163</v>
      </c>
    </row>
    <row r="340" spans="1:11" x14ac:dyDescent="0.25">
      <c r="A340">
        <v>41</v>
      </c>
      <c r="B340" t="s">
        <v>143</v>
      </c>
      <c r="C340" t="s">
        <v>144</v>
      </c>
      <c r="D340" t="s">
        <v>373</v>
      </c>
      <c r="E340" t="s">
        <v>91</v>
      </c>
      <c r="F340" t="s">
        <v>92</v>
      </c>
      <c r="G340">
        <v>1</v>
      </c>
      <c r="H340">
        <v>24</v>
      </c>
      <c r="I340">
        <v>2</v>
      </c>
      <c r="J340" t="s">
        <v>307</v>
      </c>
      <c r="K340" t="s">
        <v>36</v>
      </c>
    </row>
    <row r="341" spans="1:11" x14ac:dyDescent="0.25">
      <c r="A341">
        <v>147</v>
      </c>
      <c r="B341" t="s">
        <v>53</v>
      </c>
      <c r="C341" t="s">
        <v>55</v>
      </c>
      <c r="D341" t="s">
        <v>373</v>
      </c>
      <c r="E341" t="s">
        <v>91</v>
      </c>
      <c r="F341" t="s">
        <v>92</v>
      </c>
      <c r="G341">
        <v>7</v>
      </c>
      <c r="H341">
        <v>24</v>
      </c>
      <c r="I341">
        <v>4</v>
      </c>
      <c r="J341" t="s">
        <v>297</v>
      </c>
      <c r="K341" t="s">
        <v>36</v>
      </c>
    </row>
    <row r="342" spans="1:11" x14ac:dyDescent="0.25">
      <c r="A342">
        <v>164</v>
      </c>
      <c r="B342" t="s">
        <v>60</v>
      </c>
      <c r="C342" t="s">
        <v>61</v>
      </c>
      <c r="D342" t="s">
        <v>373</v>
      </c>
      <c r="E342" t="s">
        <v>91</v>
      </c>
      <c r="F342" t="s">
        <v>92</v>
      </c>
      <c r="G342">
        <v>6</v>
      </c>
      <c r="H342">
        <v>24</v>
      </c>
      <c r="I342">
        <v>1</v>
      </c>
      <c r="J342" t="s">
        <v>316</v>
      </c>
      <c r="K342" t="s">
        <v>36</v>
      </c>
    </row>
    <row r="343" spans="1:11" x14ac:dyDescent="0.25">
      <c r="A343">
        <v>188</v>
      </c>
      <c r="B343" t="s">
        <v>63</v>
      </c>
      <c r="C343" t="s">
        <v>65</v>
      </c>
      <c r="D343" t="s">
        <v>373</v>
      </c>
      <c r="E343" t="s">
        <v>91</v>
      </c>
      <c r="F343" t="s">
        <v>92</v>
      </c>
      <c r="G343">
        <v>7</v>
      </c>
      <c r="H343">
        <v>24</v>
      </c>
      <c r="I343">
        <v>4</v>
      </c>
      <c r="J343" t="s">
        <v>297</v>
      </c>
      <c r="K343" t="s">
        <v>36</v>
      </c>
    </row>
    <row r="344" spans="1:11" x14ac:dyDescent="0.25">
      <c r="A344">
        <v>210</v>
      </c>
      <c r="B344" t="s">
        <v>72</v>
      </c>
      <c r="C344" t="s">
        <v>73</v>
      </c>
      <c r="D344" t="s">
        <v>373</v>
      </c>
      <c r="E344" t="s">
        <v>91</v>
      </c>
      <c r="F344" t="s">
        <v>92</v>
      </c>
      <c r="G344">
        <v>4</v>
      </c>
      <c r="H344">
        <v>24</v>
      </c>
      <c r="I344">
        <v>2</v>
      </c>
      <c r="J344" t="s">
        <v>307</v>
      </c>
      <c r="K344" t="s">
        <v>36</v>
      </c>
    </row>
    <row r="345" spans="1:11" x14ac:dyDescent="0.25">
      <c r="A345">
        <v>355</v>
      </c>
      <c r="B345" t="s">
        <v>109</v>
      </c>
      <c r="C345" t="s">
        <v>110</v>
      </c>
      <c r="D345" t="s">
        <v>373</v>
      </c>
      <c r="E345" t="s">
        <v>91</v>
      </c>
      <c r="F345" t="s">
        <v>92</v>
      </c>
      <c r="G345">
        <v>3</v>
      </c>
      <c r="H345">
        <v>24</v>
      </c>
      <c r="I345">
        <v>1</v>
      </c>
      <c r="J345" t="s">
        <v>286</v>
      </c>
      <c r="K345" t="s">
        <v>36</v>
      </c>
    </row>
    <row r="346" spans="1:11" x14ac:dyDescent="0.25">
      <c r="A346">
        <v>405</v>
      </c>
      <c r="B346" t="s">
        <v>125</v>
      </c>
      <c r="C346" t="s">
        <v>126</v>
      </c>
      <c r="D346" t="s">
        <v>373</v>
      </c>
      <c r="E346" t="s">
        <v>91</v>
      </c>
      <c r="F346" t="s">
        <v>92</v>
      </c>
      <c r="G346">
        <v>3</v>
      </c>
      <c r="H346">
        <v>24</v>
      </c>
      <c r="I346">
        <v>1</v>
      </c>
      <c r="J346" t="s">
        <v>286</v>
      </c>
      <c r="K346" t="s">
        <v>36</v>
      </c>
    </row>
    <row r="347" spans="1:11" x14ac:dyDescent="0.25">
      <c r="A347">
        <v>558</v>
      </c>
      <c r="B347" t="s">
        <v>81</v>
      </c>
      <c r="C347" t="s">
        <v>83</v>
      </c>
      <c r="D347" t="s">
        <v>373</v>
      </c>
      <c r="E347" t="s">
        <v>91</v>
      </c>
      <c r="F347" t="s">
        <v>92</v>
      </c>
      <c r="G347">
        <v>3</v>
      </c>
      <c r="H347">
        <v>24</v>
      </c>
      <c r="I347">
        <v>1</v>
      </c>
      <c r="J347" t="s">
        <v>286</v>
      </c>
      <c r="K347" t="s">
        <v>36</v>
      </c>
    </row>
    <row r="348" spans="1:11" x14ac:dyDescent="0.25">
      <c r="A348">
        <v>613</v>
      </c>
      <c r="B348" t="s">
        <v>85</v>
      </c>
      <c r="C348" t="s">
        <v>87</v>
      </c>
      <c r="D348" t="s">
        <v>373</v>
      </c>
      <c r="E348" t="s">
        <v>91</v>
      </c>
      <c r="F348" t="s">
        <v>92</v>
      </c>
      <c r="G348">
        <v>4</v>
      </c>
      <c r="H348">
        <v>24</v>
      </c>
      <c r="I348">
        <v>2</v>
      </c>
      <c r="J348" t="s">
        <v>307</v>
      </c>
      <c r="K348" t="s">
        <v>36</v>
      </c>
    </row>
    <row r="349" spans="1:11" x14ac:dyDescent="0.25">
      <c r="A349">
        <v>116</v>
      </c>
      <c r="B349" t="s">
        <v>43</v>
      </c>
      <c r="C349" t="s">
        <v>45</v>
      </c>
      <c r="D349" t="s">
        <v>374</v>
      </c>
      <c r="E349" t="s">
        <v>95</v>
      </c>
      <c r="F349" t="s">
        <v>96</v>
      </c>
      <c r="G349">
        <v>6</v>
      </c>
      <c r="H349">
        <v>25</v>
      </c>
      <c r="I349">
        <v>4</v>
      </c>
      <c r="J349" t="s">
        <v>297</v>
      </c>
      <c r="K349" t="s">
        <v>36</v>
      </c>
    </row>
    <row r="350" spans="1:11" x14ac:dyDescent="0.25">
      <c r="A350">
        <v>211</v>
      </c>
      <c r="B350" t="s">
        <v>72</v>
      </c>
      <c r="C350" t="s">
        <v>73</v>
      </c>
      <c r="D350" t="s">
        <v>374</v>
      </c>
      <c r="E350" t="s">
        <v>95</v>
      </c>
      <c r="F350" t="s">
        <v>96</v>
      </c>
      <c r="G350">
        <v>3</v>
      </c>
      <c r="H350">
        <v>25</v>
      </c>
      <c r="I350">
        <v>1</v>
      </c>
      <c r="J350" t="s">
        <v>286</v>
      </c>
      <c r="K350" t="s">
        <v>36</v>
      </c>
    </row>
    <row r="351" spans="1:11" x14ac:dyDescent="0.25">
      <c r="A351">
        <v>356</v>
      </c>
      <c r="B351" t="s">
        <v>109</v>
      </c>
      <c r="C351" t="s">
        <v>110</v>
      </c>
      <c r="D351" t="s">
        <v>374</v>
      </c>
      <c r="E351" t="s">
        <v>95</v>
      </c>
      <c r="F351" t="s">
        <v>96</v>
      </c>
      <c r="G351">
        <v>3</v>
      </c>
      <c r="H351">
        <v>25</v>
      </c>
      <c r="I351">
        <v>1</v>
      </c>
      <c r="J351" t="s">
        <v>286</v>
      </c>
      <c r="K351" t="s">
        <v>36</v>
      </c>
    </row>
    <row r="352" spans="1:11" x14ac:dyDescent="0.25">
      <c r="A352">
        <v>406</v>
      </c>
      <c r="B352" t="s">
        <v>125</v>
      </c>
      <c r="C352" t="s">
        <v>126</v>
      </c>
      <c r="D352" t="s">
        <v>374</v>
      </c>
      <c r="E352" t="s">
        <v>95</v>
      </c>
      <c r="F352" t="s">
        <v>96</v>
      </c>
      <c r="G352">
        <v>7</v>
      </c>
      <c r="H352">
        <v>25</v>
      </c>
      <c r="I352">
        <v>4</v>
      </c>
      <c r="J352" t="s">
        <v>297</v>
      </c>
      <c r="K352" t="s">
        <v>36</v>
      </c>
    </row>
    <row r="353" spans="1:11" x14ac:dyDescent="0.25">
      <c r="A353">
        <v>456</v>
      </c>
      <c r="B353" t="s">
        <v>78</v>
      </c>
      <c r="C353" t="s">
        <v>79</v>
      </c>
      <c r="D353" t="s">
        <v>374</v>
      </c>
      <c r="E353" t="s">
        <v>95</v>
      </c>
      <c r="F353" t="s">
        <v>96</v>
      </c>
      <c r="G353">
        <v>4</v>
      </c>
      <c r="H353">
        <v>25</v>
      </c>
      <c r="I353">
        <v>2</v>
      </c>
      <c r="J353" t="s">
        <v>307</v>
      </c>
      <c r="K353" t="s">
        <v>36</v>
      </c>
    </row>
    <row r="354" spans="1:11" x14ac:dyDescent="0.25">
      <c r="A354">
        <v>507</v>
      </c>
      <c r="B354" t="s">
        <v>114</v>
      </c>
      <c r="C354" t="s">
        <v>116</v>
      </c>
      <c r="D354" t="s">
        <v>374</v>
      </c>
      <c r="E354" t="s">
        <v>95</v>
      </c>
      <c r="F354" t="s">
        <v>96</v>
      </c>
      <c r="G354">
        <v>3</v>
      </c>
      <c r="H354">
        <v>25</v>
      </c>
      <c r="I354">
        <v>1</v>
      </c>
      <c r="J354" t="s">
        <v>286</v>
      </c>
      <c r="K354" t="s">
        <v>36</v>
      </c>
    </row>
    <row r="355" spans="1:11" x14ac:dyDescent="0.25">
      <c r="A355">
        <v>559</v>
      </c>
      <c r="B355" t="s">
        <v>81</v>
      </c>
      <c r="C355" t="s">
        <v>83</v>
      </c>
      <c r="D355" t="s">
        <v>374</v>
      </c>
      <c r="E355" t="s">
        <v>95</v>
      </c>
      <c r="F355" t="s">
        <v>96</v>
      </c>
      <c r="G355">
        <v>4</v>
      </c>
      <c r="H355">
        <v>25</v>
      </c>
      <c r="I355">
        <v>2</v>
      </c>
      <c r="J355" t="s">
        <v>307</v>
      </c>
      <c r="K355" t="s">
        <v>36</v>
      </c>
    </row>
    <row r="356" spans="1:11" x14ac:dyDescent="0.25">
      <c r="A356">
        <v>614</v>
      </c>
      <c r="B356" t="s">
        <v>85</v>
      </c>
      <c r="C356" t="s">
        <v>87</v>
      </c>
      <c r="D356" t="s">
        <v>374</v>
      </c>
      <c r="E356" t="s">
        <v>95</v>
      </c>
      <c r="F356" t="s">
        <v>96</v>
      </c>
      <c r="G356">
        <v>5</v>
      </c>
      <c r="H356">
        <v>25</v>
      </c>
      <c r="I356">
        <v>3</v>
      </c>
      <c r="J356" t="s">
        <v>349</v>
      </c>
      <c r="K356" t="s">
        <v>36</v>
      </c>
    </row>
    <row r="357" spans="1:11" x14ac:dyDescent="0.25">
      <c r="A357">
        <v>85</v>
      </c>
      <c r="B357" t="s">
        <v>37</v>
      </c>
      <c r="C357" t="s">
        <v>39</v>
      </c>
      <c r="D357" t="s">
        <v>375</v>
      </c>
      <c r="E357" t="s">
        <v>155</v>
      </c>
      <c r="F357" t="s">
        <v>156</v>
      </c>
      <c r="G357">
        <v>5</v>
      </c>
      <c r="H357">
        <v>26</v>
      </c>
      <c r="I357">
        <v>3</v>
      </c>
      <c r="J357" t="s">
        <v>349</v>
      </c>
      <c r="K357" t="s">
        <v>36</v>
      </c>
    </row>
    <row r="358" spans="1:11" x14ac:dyDescent="0.25">
      <c r="A358">
        <v>100</v>
      </c>
      <c r="B358" t="s">
        <v>89</v>
      </c>
      <c r="C358" t="s">
        <v>90</v>
      </c>
      <c r="D358" t="s">
        <v>375</v>
      </c>
      <c r="E358" t="s">
        <v>155</v>
      </c>
      <c r="F358" t="s">
        <v>156</v>
      </c>
      <c r="G358">
        <v>4</v>
      </c>
      <c r="H358">
        <v>26</v>
      </c>
      <c r="I358">
        <v>3</v>
      </c>
      <c r="J358" t="s">
        <v>349</v>
      </c>
      <c r="K358" t="s">
        <v>36</v>
      </c>
    </row>
    <row r="359" spans="1:11" x14ac:dyDescent="0.25">
      <c r="A359">
        <v>117</v>
      </c>
      <c r="B359" t="s">
        <v>43</v>
      </c>
      <c r="C359" t="s">
        <v>45</v>
      </c>
      <c r="D359" t="s">
        <v>375</v>
      </c>
      <c r="E359" t="s">
        <v>155</v>
      </c>
      <c r="F359" t="s">
        <v>156</v>
      </c>
      <c r="G359">
        <v>6</v>
      </c>
      <c r="H359">
        <v>26</v>
      </c>
      <c r="I359">
        <v>4</v>
      </c>
      <c r="J359" t="s">
        <v>297</v>
      </c>
      <c r="K359" t="s">
        <v>36</v>
      </c>
    </row>
    <row r="360" spans="1:11" x14ac:dyDescent="0.25">
      <c r="A360">
        <v>134</v>
      </c>
      <c r="B360" t="s">
        <v>47</v>
      </c>
      <c r="C360" t="s">
        <v>49</v>
      </c>
      <c r="D360" t="s">
        <v>375</v>
      </c>
      <c r="E360" t="s">
        <v>155</v>
      </c>
      <c r="F360" t="s">
        <v>156</v>
      </c>
      <c r="G360">
        <v>4</v>
      </c>
      <c r="H360">
        <v>26</v>
      </c>
      <c r="I360">
        <v>3</v>
      </c>
      <c r="J360" t="s">
        <v>349</v>
      </c>
      <c r="K360" t="s">
        <v>36</v>
      </c>
    </row>
    <row r="361" spans="1:11" x14ac:dyDescent="0.25">
      <c r="A361">
        <v>190</v>
      </c>
      <c r="B361" t="s">
        <v>63</v>
      </c>
      <c r="C361" t="s">
        <v>65</v>
      </c>
      <c r="D361" t="s">
        <v>375</v>
      </c>
      <c r="E361" t="s">
        <v>155</v>
      </c>
      <c r="F361" t="s">
        <v>156</v>
      </c>
      <c r="G361">
        <v>5</v>
      </c>
      <c r="H361">
        <v>26</v>
      </c>
      <c r="I361">
        <v>1</v>
      </c>
      <c r="J361" t="s">
        <v>316</v>
      </c>
      <c r="K361" t="s">
        <v>36</v>
      </c>
    </row>
    <row r="362" spans="1:11" x14ac:dyDescent="0.25">
      <c r="A362">
        <v>214</v>
      </c>
      <c r="B362" t="s">
        <v>72</v>
      </c>
      <c r="C362" t="s">
        <v>73</v>
      </c>
      <c r="D362" t="s">
        <v>375</v>
      </c>
      <c r="E362" t="s">
        <v>155</v>
      </c>
      <c r="F362" t="s">
        <v>156</v>
      </c>
      <c r="G362">
        <v>4</v>
      </c>
      <c r="H362">
        <v>26</v>
      </c>
      <c r="I362">
        <v>2</v>
      </c>
      <c r="J362" t="s">
        <v>307</v>
      </c>
      <c r="K362" t="s">
        <v>36</v>
      </c>
    </row>
    <row r="363" spans="1:11" x14ac:dyDescent="0.25">
      <c r="A363">
        <v>234</v>
      </c>
      <c r="B363" t="s">
        <v>107</v>
      </c>
      <c r="C363" t="s">
        <v>108</v>
      </c>
      <c r="D363" t="s">
        <v>375</v>
      </c>
      <c r="E363" t="s">
        <v>155</v>
      </c>
      <c r="F363" t="s">
        <v>156</v>
      </c>
      <c r="G363">
        <v>3</v>
      </c>
      <c r="H363">
        <v>26</v>
      </c>
      <c r="I363">
        <v>1</v>
      </c>
      <c r="J363" t="s">
        <v>286</v>
      </c>
      <c r="K363" t="s">
        <v>36</v>
      </c>
    </row>
    <row r="364" spans="1:11" x14ac:dyDescent="0.25">
      <c r="A364">
        <v>70</v>
      </c>
      <c r="B364" t="s">
        <v>268</v>
      </c>
      <c r="C364" t="s">
        <v>269</v>
      </c>
      <c r="D364" t="s">
        <v>376</v>
      </c>
      <c r="E364" t="s">
        <v>148</v>
      </c>
      <c r="F364" t="s">
        <v>150</v>
      </c>
      <c r="G364">
        <v>3</v>
      </c>
      <c r="H364">
        <v>27</v>
      </c>
      <c r="I364">
        <v>1</v>
      </c>
      <c r="J364" t="s">
        <v>286</v>
      </c>
      <c r="K364" t="s">
        <v>36</v>
      </c>
    </row>
    <row r="365" spans="1:11" x14ac:dyDescent="0.25">
      <c r="A365">
        <v>367</v>
      </c>
      <c r="B365" t="s">
        <v>109</v>
      </c>
      <c r="C365" t="s">
        <v>110</v>
      </c>
      <c r="D365" t="s">
        <v>376</v>
      </c>
      <c r="E365" t="s">
        <v>148</v>
      </c>
      <c r="F365" t="s">
        <v>150</v>
      </c>
      <c r="G365">
        <v>7</v>
      </c>
      <c r="H365">
        <v>27</v>
      </c>
      <c r="I365">
        <v>4</v>
      </c>
      <c r="J365" t="s">
        <v>297</v>
      </c>
      <c r="K365" t="s">
        <v>36</v>
      </c>
    </row>
    <row r="366" spans="1:11" x14ac:dyDescent="0.25">
      <c r="A366">
        <v>11</v>
      </c>
      <c r="B366" t="s">
        <v>119</v>
      </c>
      <c r="C366" t="s">
        <v>120</v>
      </c>
      <c r="D366" t="s">
        <v>377</v>
      </c>
      <c r="E366" t="s">
        <v>177</v>
      </c>
      <c r="F366" t="s">
        <v>178</v>
      </c>
      <c r="G366">
        <v>3</v>
      </c>
      <c r="H366">
        <v>10.45</v>
      </c>
      <c r="I366">
        <v>4</v>
      </c>
      <c r="J366" t="s">
        <v>378</v>
      </c>
      <c r="K366" t="s">
        <v>171</v>
      </c>
    </row>
    <row r="367" spans="1:11" x14ac:dyDescent="0.25">
      <c r="A367">
        <v>29</v>
      </c>
      <c r="B367" t="s">
        <v>141</v>
      </c>
      <c r="C367" t="s">
        <v>142</v>
      </c>
      <c r="D367" t="s">
        <v>377</v>
      </c>
      <c r="E367" t="s">
        <v>177</v>
      </c>
      <c r="F367" t="s">
        <v>178</v>
      </c>
      <c r="G367">
        <v>1</v>
      </c>
      <c r="H367">
        <v>10.45</v>
      </c>
      <c r="I367">
        <v>2</v>
      </c>
      <c r="J367" t="s">
        <v>307</v>
      </c>
      <c r="K367" t="s">
        <v>171</v>
      </c>
    </row>
    <row r="368" spans="1:11" x14ac:dyDescent="0.25">
      <c r="A368">
        <v>55</v>
      </c>
      <c r="B368" t="s">
        <v>266</v>
      </c>
      <c r="C368" t="s">
        <v>267</v>
      </c>
      <c r="D368" t="s">
        <v>377</v>
      </c>
      <c r="E368" t="s">
        <v>177</v>
      </c>
      <c r="F368" t="s">
        <v>178</v>
      </c>
      <c r="G368">
        <v>3</v>
      </c>
      <c r="H368">
        <v>10.45</v>
      </c>
      <c r="I368">
        <v>1</v>
      </c>
      <c r="J368" t="s">
        <v>286</v>
      </c>
      <c r="K368" t="s">
        <v>171</v>
      </c>
    </row>
    <row r="369" spans="1:11" x14ac:dyDescent="0.25">
      <c r="A369">
        <v>238</v>
      </c>
      <c r="B369" t="s">
        <v>107</v>
      </c>
      <c r="C369" t="s">
        <v>108</v>
      </c>
      <c r="D369" t="s">
        <v>377</v>
      </c>
      <c r="E369" t="s">
        <v>177</v>
      </c>
      <c r="F369" t="s">
        <v>178</v>
      </c>
      <c r="G369">
        <v>3</v>
      </c>
      <c r="H369">
        <v>10.45</v>
      </c>
      <c r="I369">
        <v>1</v>
      </c>
      <c r="J369" t="s">
        <v>286</v>
      </c>
      <c r="K369" t="s">
        <v>171</v>
      </c>
    </row>
    <row r="370" spans="1:11" x14ac:dyDescent="0.25">
      <c r="A370">
        <v>253</v>
      </c>
      <c r="B370" t="s">
        <v>308</v>
      </c>
      <c r="C370" t="s">
        <v>309</v>
      </c>
      <c r="D370" t="s">
        <v>377</v>
      </c>
      <c r="E370" t="s">
        <v>177</v>
      </c>
      <c r="F370" t="s">
        <v>178</v>
      </c>
      <c r="G370">
        <v>6</v>
      </c>
      <c r="H370">
        <v>10.45</v>
      </c>
      <c r="I370">
        <v>5</v>
      </c>
      <c r="J370" t="s">
        <v>311</v>
      </c>
      <c r="K370" t="s">
        <v>171</v>
      </c>
    </row>
    <row r="371" spans="1:11" x14ac:dyDescent="0.25">
      <c r="A371">
        <v>277</v>
      </c>
      <c r="B371" t="s">
        <v>98</v>
      </c>
      <c r="C371" t="s">
        <v>100</v>
      </c>
      <c r="D371" t="s">
        <v>377</v>
      </c>
      <c r="E371" t="s">
        <v>177</v>
      </c>
      <c r="F371" t="s">
        <v>178</v>
      </c>
      <c r="G371">
        <v>4</v>
      </c>
      <c r="H371">
        <v>10.45</v>
      </c>
      <c r="I371">
        <v>2</v>
      </c>
      <c r="J371" t="s">
        <v>307</v>
      </c>
      <c r="K371" t="s">
        <v>171</v>
      </c>
    </row>
    <row r="372" spans="1:11" x14ac:dyDescent="0.25">
      <c r="A372">
        <v>289</v>
      </c>
      <c r="B372" t="s">
        <v>291</v>
      </c>
      <c r="C372" t="s">
        <v>292</v>
      </c>
      <c r="D372" t="s">
        <v>377</v>
      </c>
      <c r="E372" t="s">
        <v>177</v>
      </c>
      <c r="F372" t="s">
        <v>178</v>
      </c>
      <c r="G372">
        <v>6</v>
      </c>
      <c r="H372">
        <v>10.45</v>
      </c>
      <c r="I372">
        <v>4</v>
      </c>
      <c r="J372" t="s">
        <v>297</v>
      </c>
      <c r="K372" t="s">
        <v>171</v>
      </c>
    </row>
    <row r="373" spans="1:11" x14ac:dyDescent="0.25">
      <c r="A373">
        <v>320</v>
      </c>
      <c r="B373" t="s">
        <v>75</v>
      </c>
      <c r="C373" t="s">
        <v>77</v>
      </c>
      <c r="D373" t="s">
        <v>377</v>
      </c>
      <c r="E373" t="s">
        <v>177</v>
      </c>
      <c r="F373" t="s">
        <v>178</v>
      </c>
      <c r="G373">
        <v>3</v>
      </c>
      <c r="H373">
        <v>10.45</v>
      </c>
      <c r="I373">
        <v>1</v>
      </c>
      <c r="J373" t="s">
        <v>286</v>
      </c>
      <c r="K373" t="s">
        <v>171</v>
      </c>
    </row>
    <row r="374" spans="1:11" x14ac:dyDescent="0.25">
      <c r="A374">
        <v>337</v>
      </c>
      <c r="B374" t="s">
        <v>293</v>
      </c>
      <c r="C374" t="s">
        <v>294</v>
      </c>
      <c r="D374" t="s">
        <v>377</v>
      </c>
      <c r="E374" t="s">
        <v>177</v>
      </c>
      <c r="F374" t="s">
        <v>178</v>
      </c>
      <c r="G374">
        <v>6</v>
      </c>
      <c r="H374">
        <v>10.45</v>
      </c>
      <c r="I374">
        <v>5</v>
      </c>
      <c r="J374" t="s">
        <v>311</v>
      </c>
      <c r="K374" t="s">
        <v>171</v>
      </c>
    </row>
    <row r="375" spans="1:11" x14ac:dyDescent="0.25">
      <c r="A375">
        <v>368</v>
      </c>
      <c r="B375" t="s">
        <v>109</v>
      </c>
      <c r="C375" t="s">
        <v>110</v>
      </c>
      <c r="D375" t="s">
        <v>377</v>
      </c>
      <c r="E375" t="s">
        <v>177</v>
      </c>
      <c r="F375" t="s">
        <v>178</v>
      </c>
      <c r="G375">
        <v>5</v>
      </c>
      <c r="H375">
        <v>10.45</v>
      </c>
      <c r="I375">
        <v>3</v>
      </c>
      <c r="J375" t="s">
        <v>349</v>
      </c>
      <c r="K375" t="s">
        <v>171</v>
      </c>
    </row>
    <row r="376" spans="1:11" x14ac:dyDescent="0.25">
      <c r="A376">
        <v>385</v>
      </c>
      <c r="B376" t="s">
        <v>295</v>
      </c>
      <c r="C376" t="s">
        <v>296</v>
      </c>
      <c r="D376" t="s">
        <v>377</v>
      </c>
      <c r="E376" t="s">
        <v>177</v>
      </c>
      <c r="F376" t="s">
        <v>178</v>
      </c>
      <c r="G376">
        <v>6</v>
      </c>
      <c r="H376">
        <v>10.45</v>
      </c>
      <c r="I376">
        <v>4</v>
      </c>
      <c r="J376" t="s">
        <v>297</v>
      </c>
      <c r="K376" t="s">
        <v>171</v>
      </c>
    </row>
    <row r="377" spans="1:11" x14ac:dyDescent="0.25">
      <c r="A377">
        <v>417</v>
      </c>
      <c r="B377" t="s">
        <v>125</v>
      </c>
      <c r="C377" t="s">
        <v>126</v>
      </c>
      <c r="D377" t="s">
        <v>377</v>
      </c>
      <c r="E377" t="s">
        <v>177</v>
      </c>
      <c r="F377" t="s">
        <v>178</v>
      </c>
      <c r="G377">
        <v>3</v>
      </c>
      <c r="H377">
        <v>10.45</v>
      </c>
      <c r="I377">
        <v>1</v>
      </c>
      <c r="J377" t="s">
        <v>286</v>
      </c>
      <c r="K377" t="s">
        <v>171</v>
      </c>
    </row>
    <row r="378" spans="1:11" x14ac:dyDescent="0.25">
      <c r="A378">
        <v>433</v>
      </c>
      <c r="B378" t="s">
        <v>298</v>
      </c>
      <c r="C378" t="s">
        <v>299</v>
      </c>
      <c r="D378" t="s">
        <v>377</v>
      </c>
      <c r="E378" t="s">
        <v>177</v>
      </c>
      <c r="F378" t="s">
        <v>178</v>
      </c>
      <c r="G378">
        <v>6</v>
      </c>
      <c r="H378">
        <v>10.45</v>
      </c>
      <c r="I378">
        <v>4</v>
      </c>
      <c r="J378" t="s">
        <v>297</v>
      </c>
      <c r="K378" t="s">
        <v>171</v>
      </c>
    </row>
    <row r="379" spans="1:11" x14ac:dyDescent="0.25">
      <c r="A379">
        <v>464</v>
      </c>
      <c r="B379" t="s">
        <v>78</v>
      </c>
      <c r="C379" t="s">
        <v>79</v>
      </c>
      <c r="D379" t="s">
        <v>377</v>
      </c>
      <c r="E379" t="s">
        <v>177</v>
      </c>
      <c r="F379" t="s">
        <v>178</v>
      </c>
      <c r="G379">
        <v>4</v>
      </c>
      <c r="H379">
        <v>10.45</v>
      </c>
      <c r="I379">
        <v>2</v>
      </c>
      <c r="J379" t="s">
        <v>307</v>
      </c>
      <c r="K379" t="s">
        <v>171</v>
      </c>
    </row>
    <row r="380" spans="1:11" x14ac:dyDescent="0.25">
      <c r="A380">
        <v>481</v>
      </c>
      <c r="B380" t="s">
        <v>300</v>
      </c>
      <c r="C380" t="s">
        <v>301</v>
      </c>
      <c r="D380" t="s">
        <v>377</v>
      </c>
      <c r="E380" t="s">
        <v>177</v>
      </c>
      <c r="F380" t="s">
        <v>178</v>
      </c>
      <c r="G380">
        <v>6</v>
      </c>
      <c r="H380">
        <v>10.45</v>
      </c>
      <c r="I380">
        <v>5</v>
      </c>
      <c r="J380" t="s">
        <v>311</v>
      </c>
      <c r="K380" t="s">
        <v>171</v>
      </c>
    </row>
    <row r="381" spans="1:11" x14ac:dyDescent="0.25">
      <c r="A381">
        <v>512</v>
      </c>
      <c r="B381" t="s">
        <v>114</v>
      </c>
      <c r="C381" t="s">
        <v>116</v>
      </c>
      <c r="D381" t="s">
        <v>377</v>
      </c>
      <c r="E381" t="s">
        <v>177</v>
      </c>
      <c r="F381" t="s">
        <v>178</v>
      </c>
      <c r="G381">
        <v>4</v>
      </c>
      <c r="H381">
        <v>10.45</v>
      </c>
      <c r="I381">
        <v>2</v>
      </c>
      <c r="J381" t="s">
        <v>307</v>
      </c>
      <c r="K381" t="s">
        <v>171</v>
      </c>
    </row>
    <row r="382" spans="1:11" x14ac:dyDescent="0.25">
      <c r="A382">
        <v>537</v>
      </c>
      <c r="B382" t="s">
        <v>302</v>
      </c>
      <c r="C382" t="s">
        <v>303</v>
      </c>
      <c r="D382" t="s">
        <v>377</v>
      </c>
      <c r="E382" t="s">
        <v>177</v>
      </c>
      <c r="F382" t="s">
        <v>178</v>
      </c>
      <c r="G382">
        <v>7</v>
      </c>
      <c r="H382">
        <v>10.45</v>
      </c>
      <c r="I382">
        <v>5</v>
      </c>
      <c r="J382" t="s">
        <v>311</v>
      </c>
      <c r="K382" t="s">
        <v>171</v>
      </c>
    </row>
    <row r="383" spans="1:11" x14ac:dyDescent="0.25">
      <c r="A383">
        <v>593</v>
      </c>
      <c r="B383" t="s">
        <v>305</v>
      </c>
      <c r="C383" t="s">
        <v>306</v>
      </c>
      <c r="D383" t="s">
        <v>377</v>
      </c>
      <c r="E383" t="s">
        <v>177</v>
      </c>
      <c r="F383" t="s">
        <v>178</v>
      </c>
      <c r="G383">
        <v>7</v>
      </c>
      <c r="H383">
        <v>10.45</v>
      </c>
      <c r="I383">
        <v>5</v>
      </c>
      <c r="J383" t="s">
        <v>311</v>
      </c>
      <c r="K383" t="s">
        <v>171</v>
      </c>
    </row>
    <row r="384" spans="1:11" x14ac:dyDescent="0.25">
      <c r="A384">
        <v>623</v>
      </c>
      <c r="B384" t="s">
        <v>85</v>
      </c>
      <c r="C384" t="s">
        <v>87</v>
      </c>
      <c r="D384" t="s">
        <v>377</v>
      </c>
      <c r="E384" t="s">
        <v>177</v>
      </c>
      <c r="F384" t="s">
        <v>178</v>
      </c>
      <c r="G384">
        <v>4</v>
      </c>
      <c r="H384">
        <v>10.45</v>
      </c>
      <c r="I384">
        <v>2</v>
      </c>
      <c r="J384" t="s">
        <v>307</v>
      </c>
      <c r="K384" t="s">
        <v>171</v>
      </c>
    </row>
    <row r="385" spans="1:11" x14ac:dyDescent="0.25">
      <c r="A385">
        <v>13</v>
      </c>
      <c r="B385" t="s">
        <v>119</v>
      </c>
      <c r="C385" t="s">
        <v>120</v>
      </c>
      <c r="D385" t="s">
        <v>379</v>
      </c>
      <c r="E385" t="s">
        <v>58</v>
      </c>
      <c r="F385" t="s">
        <v>59</v>
      </c>
      <c r="G385">
        <v>3</v>
      </c>
      <c r="H385">
        <v>28</v>
      </c>
      <c r="I385">
        <v>4</v>
      </c>
      <c r="J385" t="s">
        <v>378</v>
      </c>
      <c r="K385" t="s">
        <v>36</v>
      </c>
    </row>
    <row r="386" spans="1:11" x14ac:dyDescent="0.25">
      <c r="A386">
        <v>57</v>
      </c>
      <c r="B386" t="s">
        <v>266</v>
      </c>
      <c r="C386" t="s">
        <v>267</v>
      </c>
      <c r="D386" t="s">
        <v>379</v>
      </c>
      <c r="E386" t="s">
        <v>58</v>
      </c>
      <c r="F386" t="s">
        <v>59</v>
      </c>
      <c r="G386">
        <v>3</v>
      </c>
      <c r="H386">
        <v>28</v>
      </c>
      <c r="I386">
        <v>1</v>
      </c>
      <c r="J386" t="s">
        <v>286</v>
      </c>
      <c r="K386" t="s">
        <v>36</v>
      </c>
    </row>
    <row r="387" spans="1:11" x14ac:dyDescent="0.25">
      <c r="A387">
        <v>73</v>
      </c>
      <c r="B387" t="s">
        <v>268</v>
      </c>
      <c r="C387" t="s">
        <v>269</v>
      </c>
      <c r="D387" t="s">
        <v>379</v>
      </c>
      <c r="E387" t="s">
        <v>58</v>
      </c>
      <c r="F387" t="s">
        <v>59</v>
      </c>
      <c r="G387">
        <v>3</v>
      </c>
      <c r="H387">
        <v>28</v>
      </c>
      <c r="I387">
        <v>3</v>
      </c>
      <c r="J387" t="s">
        <v>349</v>
      </c>
      <c r="K387" t="s">
        <v>36</v>
      </c>
    </row>
    <row r="388" spans="1:11" x14ac:dyDescent="0.25">
      <c r="A388">
        <v>89</v>
      </c>
      <c r="B388" t="s">
        <v>37</v>
      </c>
      <c r="C388" t="s">
        <v>39</v>
      </c>
      <c r="D388" t="s">
        <v>379</v>
      </c>
      <c r="E388" t="s">
        <v>58</v>
      </c>
      <c r="F388" t="s">
        <v>59</v>
      </c>
      <c r="G388">
        <v>4</v>
      </c>
      <c r="H388">
        <v>28</v>
      </c>
      <c r="I388">
        <v>3</v>
      </c>
      <c r="J388" t="s">
        <v>349</v>
      </c>
      <c r="K388" t="s">
        <v>36</v>
      </c>
    </row>
    <row r="389" spans="1:11" x14ac:dyDescent="0.25">
      <c r="A389">
        <v>105</v>
      </c>
      <c r="B389" t="s">
        <v>89</v>
      </c>
      <c r="C389" t="s">
        <v>90</v>
      </c>
      <c r="D389" t="s">
        <v>379</v>
      </c>
      <c r="E389" t="s">
        <v>58</v>
      </c>
      <c r="F389" t="s">
        <v>59</v>
      </c>
      <c r="G389">
        <v>6</v>
      </c>
      <c r="H389">
        <v>28</v>
      </c>
      <c r="I389">
        <v>4</v>
      </c>
      <c r="J389" t="s">
        <v>297</v>
      </c>
      <c r="K389" t="s">
        <v>36</v>
      </c>
    </row>
    <row r="390" spans="1:11" x14ac:dyDescent="0.25">
      <c r="A390">
        <v>152</v>
      </c>
      <c r="B390" t="s">
        <v>53</v>
      </c>
      <c r="C390" t="s">
        <v>55</v>
      </c>
      <c r="D390" t="s">
        <v>379</v>
      </c>
      <c r="E390" t="s">
        <v>58</v>
      </c>
      <c r="F390" t="s">
        <v>59</v>
      </c>
      <c r="G390">
        <v>6</v>
      </c>
      <c r="H390">
        <v>28</v>
      </c>
      <c r="I390">
        <v>1</v>
      </c>
      <c r="J390" t="s">
        <v>316</v>
      </c>
      <c r="K390" t="s">
        <v>36</v>
      </c>
    </row>
    <row r="391" spans="1:11" x14ac:dyDescent="0.25">
      <c r="A391">
        <v>193</v>
      </c>
      <c r="B391" t="s">
        <v>63</v>
      </c>
      <c r="C391" t="s">
        <v>65</v>
      </c>
      <c r="D391" t="s">
        <v>379</v>
      </c>
      <c r="E391" t="s">
        <v>58</v>
      </c>
      <c r="F391" t="s">
        <v>59</v>
      </c>
      <c r="G391">
        <v>3</v>
      </c>
      <c r="H391">
        <v>28</v>
      </c>
      <c r="I391">
        <v>1</v>
      </c>
      <c r="J391" t="s">
        <v>286</v>
      </c>
      <c r="K391" t="s">
        <v>36</v>
      </c>
    </row>
    <row r="392" spans="1:11" x14ac:dyDescent="0.25">
      <c r="A392">
        <v>241</v>
      </c>
      <c r="B392" t="s">
        <v>107</v>
      </c>
      <c r="C392" t="s">
        <v>108</v>
      </c>
      <c r="D392" t="s">
        <v>379</v>
      </c>
      <c r="E392" t="s">
        <v>58</v>
      </c>
      <c r="F392" t="s">
        <v>59</v>
      </c>
      <c r="G392">
        <v>5</v>
      </c>
      <c r="H392">
        <v>28</v>
      </c>
      <c r="I392">
        <v>3</v>
      </c>
      <c r="J392" t="s">
        <v>349</v>
      </c>
      <c r="K392" t="s">
        <v>36</v>
      </c>
    </row>
    <row r="393" spans="1:11" x14ac:dyDescent="0.25">
      <c r="A393">
        <v>321</v>
      </c>
      <c r="B393" t="s">
        <v>75</v>
      </c>
      <c r="C393" t="s">
        <v>77</v>
      </c>
      <c r="D393" t="s">
        <v>379</v>
      </c>
      <c r="E393" t="s">
        <v>58</v>
      </c>
      <c r="F393" t="s">
        <v>59</v>
      </c>
      <c r="G393">
        <v>4</v>
      </c>
      <c r="H393">
        <v>28</v>
      </c>
      <c r="I393">
        <v>2</v>
      </c>
      <c r="J393" t="s">
        <v>307</v>
      </c>
      <c r="K393" t="s">
        <v>36</v>
      </c>
    </row>
    <row r="394" spans="1:11" x14ac:dyDescent="0.25">
      <c r="A394">
        <v>18</v>
      </c>
      <c r="B394" t="s">
        <v>141</v>
      </c>
      <c r="C394" t="s">
        <v>142</v>
      </c>
      <c r="D394" t="s">
        <v>380</v>
      </c>
      <c r="E394" t="s">
        <v>66</v>
      </c>
      <c r="F394" t="s">
        <v>67</v>
      </c>
      <c r="G394">
        <v>4</v>
      </c>
      <c r="H394">
        <v>29</v>
      </c>
      <c r="I394">
        <v>5</v>
      </c>
      <c r="J394" t="s">
        <v>311</v>
      </c>
      <c r="K394" t="s">
        <v>36</v>
      </c>
    </row>
    <row r="395" spans="1:11" x14ac:dyDescent="0.25">
      <c r="A395">
        <v>33</v>
      </c>
      <c r="B395" t="s">
        <v>143</v>
      </c>
      <c r="C395" t="s">
        <v>144</v>
      </c>
      <c r="D395" t="s">
        <v>380</v>
      </c>
      <c r="E395" t="s">
        <v>66</v>
      </c>
      <c r="F395" t="s">
        <v>67</v>
      </c>
      <c r="G395">
        <v>3</v>
      </c>
      <c r="H395">
        <v>29</v>
      </c>
      <c r="I395">
        <v>3</v>
      </c>
      <c r="J395" t="s">
        <v>349</v>
      </c>
      <c r="K395" t="s">
        <v>36</v>
      </c>
    </row>
    <row r="396" spans="1:11" x14ac:dyDescent="0.25">
      <c r="A396">
        <v>61</v>
      </c>
      <c r="B396" t="s">
        <v>268</v>
      </c>
      <c r="C396" t="s">
        <v>269</v>
      </c>
      <c r="D396" t="s">
        <v>380</v>
      </c>
      <c r="E396" t="s">
        <v>66</v>
      </c>
      <c r="F396" t="s">
        <v>67</v>
      </c>
      <c r="G396">
        <v>2</v>
      </c>
      <c r="H396">
        <v>29</v>
      </c>
      <c r="I396">
        <v>1</v>
      </c>
      <c r="J396" t="s">
        <v>286</v>
      </c>
      <c r="K396" t="s">
        <v>36</v>
      </c>
    </row>
    <row r="397" spans="1:11" x14ac:dyDescent="0.25">
      <c r="A397">
        <v>77</v>
      </c>
      <c r="B397" t="s">
        <v>37</v>
      </c>
      <c r="C397" t="s">
        <v>39</v>
      </c>
      <c r="D397" t="s">
        <v>380</v>
      </c>
      <c r="E397" t="s">
        <v>66</v>
      </c>
      <c r="F397" t="s">
        <v>67</v>
      </c>
      <c r="G397">
        <v>4</v>
      </c>
      <c r="H397">
        <v>29</v>
      </c>
      <c r="I397">
        <v>1</v>
      </c>
      <c r="J397" t="s">
        <v>286</v>
      </c>
      <c r="K397" t="s">
        <v>36</v>
      </c>
    </row>
    <row r="398" spans="1:11" x14ac:dyDescent="0.25">
      <c r="A398">
        <v>95</v>
      </c>
      <c r="B398" t="s">
        <v>89</v>
      </c>
      <c r="C398" t="s">
        <v>90</v>
      </c>
      <c r="D398" t="s">
        <v>380</v>
      </c>
      <c r="E398" t="s">
        <v>66</v>
      </c>
      <c r="F398" t="s">
        <v>67</v>
      </c>
      <c r="G398">
        <v>6</v>
      </c>
      <c r="H398">
        <v>29</v>
      </c>
      <c r="I398">
        <v>5</v>
      </c>
      <c r="J398" t="s">
        <v>311</v>
      </c>
      <c r="K398" t="s">
        <v>36</v>
      </c>
    </row>
    <row r="399" spans="1:11" x14ac:dyDescent="0.25">
      <c r="A399">
        <v>125</v>
      </c>
      <c r="B399" t="s">
        <v>47</v>
      </c>
      <c r="C399" t="s">
        <v>49</v>
      </c>
      <c r="D399" t="s">
        <v>380</v>
      </c>
      <c r="E399" t="s">
        <v>66</v>
      </c>
      <c r="F399" t="s">
        <v>67</v>
      </c>
      <c r="G399">
        <v>3</v>
      </c>
      <c r="H399">
        <v>29</v>
      </c>
      <c r="I399">
        <v>1</v>
      </c>
      <c r="J399" t="s">
        <v>286</v>
      </c>
      <c r="K399" t="s">
        <v>36</v>
      </c>
    </row>
    <row r="400" spans="1:11" x14ac:dyDescent="0.25">
      <c r="A400">
        <v>177</v>
      </c>
      <c r="B400" t="s">
        <v>63</v>
      </c>
      <c r="C400" t="s">
        <v>65</v>
      </c>
      <c r="D400" t="s">
        <v>380</v>
      </c>
      <c r="E400" t="s">
        <v>66</v>
      </c>
      <c r="F400" t="s">
        <v>67</v>
      </c>
      <c r="G400">
        <v>3</v>
      </c>
      <c r="H400">
        <v>29</v>
      </c>
      <c r="I400">
        <v>1</v>
      </c>
      <c r="J400" t="s">
        <v>286</v>
      </c>
      <c r="K400" t="s">
        <v>36</v>
      </c>
    </row>
    <row r="401" spans="1:11" x14ac:dyDescent="0.25">
      <c r="A401">
        <v>225</v>
      </c>
      <c r="B401" t="s">
        <v>107</v>
      </c>
      <c r="C401" t="s">
        <v>108</v>
      </c>
      <c r="D401" t="s">
        <v>380</v>
      </c>
      <c r="E401" t="s">
        <v>66</v>
      </c>
      <c r="F401" t="s">
        <v>67</v>
      </c>
      <c r="G401">
        <v>5</v>
      </c>
      <c r="H401">
        <v>29</v>
      </c>
      <c r="I401">
        <v>3</v>
      </c>
      <c r="J401" t="s">
        <v>349</v>
      </c>
      <c r="K401" t="s">
        <v>36</v>
      </c>
    </row>
    <row r="402" spans="1:11" x14ac:dyDescent="0.25">
      <c r="A402">
        <v>298</v>
      </c>
      <c r="B402" t="s">
        <v>75</v>
      </c>
      <c r="C402" t="s">
        <v>77</v>
      </c>
      <c r="D402" t="s">
        <v>381</v>
      </c>
      <c r="E402" t="s">
        <v>113</v>
      </c>
      <c r="F402" t="s">
        <v>115</v>
      </c>
      <c r="G402">
        <v>7</v>
      </c>
      <c r="H402">
        <v>30</v>
      </c>
      <c r="I402">
        <v>4</v>
      </c>
      <c r="J402" t="s">
        <v>297</v>
      </c>
      <c r="K402" t="s">
        <v>36</v>
      </c>
    </row>
    <row r="403" spans="1:11" x14ac:dyDescent="0.25">
      <c r="A403">
        <v>344</v>
      </c>
      <c r="B403" t="s">
        <v>109</v>
      </c>
      <c r="C403" t="s">
        <v>110</v>
      </c>
      <c r="D403" t="s">
        <v>381</v>
      </c>
      <c r="E403" t="s">
        <v>113</v>
      </c>
      <c r="F403" t="s">
        <v>115</v>
      </c>
      <c r="G403">
        <v>3</v>
      </c>
      <c r="H403">
        <v>30</v>
      </c>
      <c r="I403">
        <v>1</v>
      </c>
      <c r="J403" t="s">
        <v>286</v>
      </c>
      <c r="K403" t="s">
        <v>36</v>
      </c>
    </row>
    <row r="404" spans="1:11" x14ac:dyDescent="0.25">
      <c r="A404">
        <v>391</v>
      </c>
      <c r="B404" t="s">
        <v>125</v>
      </c>
      <c r="C404" t="s">
        <v>126</v>
      </c>
      <c r="D404" t="s">
        <v>381</v>
      </c>
      <c r="E404" t="s">
        <v>113</v>
      </c>
      <c r="F404" t="s">
        <v>115</v>
      </c>
      <c r="G404">
        <v>3</v>
      </c>
      <c r="H404">
        <v>30</v>
      </c>
      <c r="I404">
        <v>1</v>
      </c>
      <c r="J404" t="s">
        <v>286</v>
      </c>
      <c r="K404" t="s">
        <v>36</v>
      </c>
    </row>
    <row r="405" spans="1:11" x14ac:dyDescent="0.25">
      <c r="A405">
        <v>492</v>
      </c>
      <c r="B405" t="s">
        <v>114</v>
      </c>
      <c r="C405" t="s">
        <v>116</v>
      </c>
      <c r="D405" t="s">
        <v>381</v>
      </c>
      <c r="E405" t="s">
        <v>113</v>
      </c>
      <c r="F405" t="s">
        <v>115</v>
      </c>
      <c r="G405">
        <v>3</v>
      </c>
      <c r="H405">
        <v>30</v>
      </c>
      <c r="I405">
        <v>1</v>
      </c>
      <c r="J405" t="s">
        <v>286</v>
      </c>
      <c r="K405" t="s">
        <v>36</v>
      </c>
    </row>
    <row r="406" spans="1:11" x14ac:dyDescent="0.25">
      <c r="A406">
        <v>544</v>
      </c>
      <c r="B406" t="s">
        <v>81</v>
      </c>
      <c r="C406" t="s">
        <v>83</v>
      </c>
      <c r="D406" t="s">
        <v>381</v>
      </c>
      <c r="E406" t="s">
        <v>113</v>
      </c>
      <c r="F406" t="s">
        <v>115</v>
      </c>
      <c r="G406">
        <v>7</v>
      </c>
      <c r="H406">
        <v>30</v>
      </c>
      <c r="I406">
        <v>5</v>
      </c>
      <c r="J406" t="s">
        <v>311</v>
      </c>
      <c r="K406" t="s">
        <v>36</v>
      </c>
    </row>
    <row r="407" spans="1:11" x14ac:dyDescent="0.25">
      <c r="A407">
        <v>601</v>
      </c>
      <c r="B407" t="s">
        <v>85</v>
      </c>
      <c r="C407" t="s">
        <v>87</v>
      </c>
      <c r="D407" t="s">
        <v>381</v>
      </c>
      <c r="E407" t="s">
        <v>113</v>
      </c>
      <c r="F407" t="s">
        <v>115</v>
      </c>
      <c r="G407">
        <v>7</v>
      </c>
      <c r="H407">
        <v>30</v>
      </c>
      <c r="I407">
        <v>4</v>
      </c>
      <c r="J407" t="s">
        <v>297</v>
      </c>
      <c r="K407" t="s">
        <v>36</v>
      </c>
    </row>
    <row r="408" spans="1:11" x14ac:dyDescent="0.25">
      <c r="A408">
        <v>22</v>
      </c>
      <c r="B408" t="s">
        <v>141</v>
      </c>
      <c r="C408" t="s">
        <v>142</v>
      </c>
      <c r="D408" t="s">
        <v>382</v>
      </c>
      <c r="E408" t="s">
        <v>40</v>
      </c>
      <c r="F408" t="s">
        <v>41</v>
      </c>
      <c r="G408">
        <v>2</v>
      </c>
      <c r="H408">
        <v>31</v>
      </c>
      <c r="I408">
        <v>3</v>
      </c>
      <c r="J408" t="s">
        <v>349</v>
      </c>
      <c r="K408" t="s">
        <v>36</v>
      </c>
    </row>
    <row r="409" spans="1:11" x14ac:dyDescent="0.25">
      <c r="A409">
        <v>37</v>
      </c>
      <c r="B409" t="s">
        <v>143</v>
      </c>
      <c r="C409" t="s">
        <v>144</v>
      </c>
      <c r="D409" t="s">
        <v>382</v>
      </c>
      <c r="E409" t="s">
        <v>40</v>
      </c>
      <c r="F409" t="s">
        <v>41</v>
      </c>
      <c r="G409">
        <v>4</v>
      </c>
      <c r="H409">
        <v>31</v>
      </c>
      <c r="I409">
        <v>5</v>
      </c>
      <c r="J409" t="s">
        <v>311</v>
      </c>
      <c r="K409" t="s">
        <v>36</v>
      </c>
    </row>
    <row r="410" spans="1:11" x14ac:dyDescent="0.25">
      <c r="A410">
        <v>64</v>
      </c>
      <c r="B410" t="s">
        <v>268</v>
      </c>
      <c r="C410" t="s">
        <v>269</v>
      </c>
      <c r="D410" t="s">
        <v>382</v>
      </c>
      <c r="E410" t="s">
        <v>40</v>
      </c>
      <c r="F410" t="s">
        <v>41</v>
      </c>
      <c r="G410">
        <v>5</v>
      </c>
      <c r="H410">
        <v>31</v>
      </c>
      <c r="I410">
        <v>5</v>
      </c>
      <c r="J410" t="s">
        <v>311</v>
      </c>
      <c r="K410" t="s">
        <v>36</v>
      </c>
    </row>
    <row r="411" spans="1:11" x14ac:dyDescent="0.25">
      <c r="A411">
        <v>80</v>
      </c>
      <c r="B411" t="s">
        <v>37</v>
      </c>
      <c r="C411" t="s">
        <v>39</v>
      </c>
      <c r="D411" t="s">
        <v>382</v>
      </c>
      <c r="E411" t="s">
        <v>40</v>
      </c>
      <c r="F411" t="s">
        <v>41</v>
      </c>
      <c r="G411">
        <v>4</v>
      </c>
      <c r="H411">
        <v>31</v>
      </c>
      <c r="I411">
        <v>1</v>
      </c>
      <c r="J411" t="s">
        <v>286</v>
      </c>
      <c r="K411" t="s">
        <v>36</v>
      </c>
    </row>
    <row r="412" spans="1:11" x14ac:dyDescent="0.25">
      <c r="A412">
        <v>97</v>
      </c>
      <c r="B412" t="s">
        <v>89</v>
      </c>
      <c r="C412" t="s">
        <v>90</v>
      </c>
      <c r="D412" t="s">
        <v>382</v>
      </c>
      <c r="E412" t="s">
        <v>40</v>
      </c>
      <c r="F412" t="s">
        <v>41</v>
      </c>
      <c r="G412">
        <v>4</v>
      </c>
      <c r="H412">
        <v>31</v>
      </c>
      <c r="I412">
        <v>3</v>
      </c>
      <c r="J412" t="s">
        <v>349</v>
      </c>
      <c r="K412" t="s">
        <v>36</v>
      </c>
    </row>
    <row r="413" spans="1:11" x14ac:dyDescent="0.25">
      <c r="A413">
        <v>112</v>
      </c>
      <c r="B413" t="s">
        <v>43</v>
      </c>
      <c r="C413" t="s">
        <v>45</v>
      </c>
      <c r="D413" t="s">
        <v>382</v>
      </c>
      <c r="E413" t="s">
        <v>40</v>
      </c>
      <c r="F413" t="s">
        <v>41</v>
      </c>
      <c r="G413">
        <v>4</v>
      </c>
      <c r="H413">
        <v>31</v>
      </c>
      <c r="I413">
        <v>3</v>
      </c>
      <c r="J413" t="s">
        <v>349</v>
      </c>
      <c r="K413" t="s">
        <v>36</v>
      </c>
    </row>
    <row r="414" spans="1:11" x14ac:dyDescent="0.25">
      <c r="A414">
        <v>158</v>
      </c>
      <c r="B414" t="s">
        <v>60</v>
      </c>
      <c r="C414" t="s">
        <v>61</v>
      </c>
      <c r="D414" t="s">
        <v>382</v>
      </c>
      <c r="E414" t="s">
        <v>40</v>
      </c>
      <c r="F414" t="s">
        <v>41</v>
      </c>
      <c r="G414">
        <v>3</v>
      </c>
      <c r="H414">
        <v>31</v>
      </c>
      <c r="I414">
        <v>1</v>
      </c>
      <c r="J414" t="s">
        <v>286</v>
      </c>
      <c r="K414" t="s">
        <v>36</v>
      </c>
    </row>
    <row r="415" spans="1:11" x14ac:dyDescent="0.25">
      <c r="A415">
        <v>182</v>
      </c>
      <c r="B415" t="s">
        <v>63</v>
      </c>
      <c r="C415" t="s">
        <v>65</v>
      </c>
      <c r="D415" t="s">
        <v>382</v>
      </c>
      <c r="E415" t="s">
        <v>40</v>
      </c>
      <c r="F415" t="s">
        <v>41</v>
      </c>
      <c r="G415">
        <v>3</v>
      </c>
      <c r="H415">
        <v>31</v>
      </c>
      <c r="I415">
        <v>1</v>
      </c>
      <c r="J415" t="s">
        <v>286</v>
      </c>
      <c r="K415" t="s">
        <v>36</v>
      </c>
    </row>
    <row r="416" spans="1:11" x14ac:dyDescent="0.25">
      <c r="A416">
        <v>203</v>
      </c>
      <c r="B416" t="s">
        <v>72</v>
      </c>
      <c r="C416" t="s">
        <v>73</v>
      </c>
      <c r="D416" t="s">
        <v>382</v>
      </c>
      <c r="E416" t="s">
        <v>40</v>
      </c>
      <c r="F416" t="s">
        <v>41</v>
      </c>
      <c r="G416">
        <v>3</v>
      </c>
      <c r="H416">
        <v>31</v>
      </c>
      <c r="I416">
        <v>1</v>
      </c>
      <c r="J416" t="s">
        <v>286</v>
      </c>
      <c r="K416" t="s">
        <v>36</v>
      </c>
    </row>
    <row r="417" spans="1:11" x14ac:dyDescent="0.25">
      <c r="A417">
        <v>24</v>
      </c>
      <c r="B417" t="s">
        <v>141</v>
      </c>
      <c r="C417" t="s">
        <v>142</v>
      </c>
      <c r="D417" t="s">
        <v>383</v>
      </c>
      <c r="E417" t="s">
        <v>134</v>
      </c>
      <c r="F417" t="s">
        <v>135</v>
      </c>
      <c r="G417">
        <v>1</v>
      </c>
      <c r="H417">
        <v>32</v>
      </c>
      <c r="I417">
        <v>2</v>
      </c>
      <c r="J417" t="s">
        <v>307</v>
      </c>
      <c r="K417" t="s">
        <v>36</v>
      </c>
    </row>
    <row r="418" spans="1:11" x14ac:dyDescent="0.25">
      <c r="A418">
        <v>39</v>
      </c>
      <c r="B418" t="s">
        <v>143</v>
      </c>
      <c r="C418" t="s">
        <v>144</v>
      </c>
      <c r="D418" t="s">
        <v>383</v>
      </c>
      <c r="E418" t="s">
        <v>134</v>
      </c>
      <c r="F418" t="s">
        <v>135</v>
      </c>
      <c r="G418">
        <v>1</v>
      </c>
      <c r="H418">
        <v>32</v>
      </c>
      <c r="I418">
        <v>2</v>
      </c>
      <c r="J418" t="s">
        <v>307</v>
      </c>
      <c r="K418" t="s">
        <v>36</v>
      </c>
    </row>
    <row r="419" spans="1:11" x14ac:dyDescent="0.25">
      <c r="A419">
        <v>146</v>
      </c>
      <c r="B419" t="s">
        <v>53</v>
      </c>
      <c r="C419" t="s">
        <v>55</v>
      </c>
      <c r="D419" t="s">
        <v>383</v>
      </c>
      <c r="E419" t="s">
        <v>134</v>
      </c>
      <c r="F419" t="s">
        <v>135</v>
      </c>
      <c r="G419">
        <v>7</v>
      </c>
      <c r="H419">
        <v>32</v>
      </c>
      <c r="I419">
        <v>5</v>
      </c>
      <c r="J419" t="s">
        <v>311</v>
      </c>
      <c r="K419" t="s">
        <v>36</v>
      </c>
    </row>
    <row r="420" spans="1:11" x14ac:dyDescent="0.25">
      <c r="A420">
        <v>162</v>
      </c>
      <c r="B420" t="s">
        <v>60</v>
      </c>
      <c r="C420" t="s">
        <v>61</v>
      </c>
      <c r="D420" t="s">
        <v>383</v>
      </c>
      <c r="E420" t="s">
        <v>134</v>
      </c>
      <c r="F420" t="s">
        <v>135</v>
      </c>
      <c r="G420">
        <v>7</v>
      </c>
      <c r="H420">
        <v>32</v>
      </c>
      <c r="I420">
        <v>5</v>
      </c>
      <c r="J420" t="s">
        <v>311</v>
      </c>
      <c r="K420" t="s">
        <v>36</v>
      </c>
    </row>
    <row r="421" spans="1:11" x14ac:dyDescent="0.25">
      <c r="A421">
        <v>229</v>
      </c>
      <c r="B421" t="s">
        <v>107</v>
      </c>
      <c r="C421" t="s">
        <v>108</v>
      </c>
      <c r="D421" t="s">
        <v>383</v>
      </c>
      <c r="E421" t="s">
        <v>134</v>
      </c>
      <c r="F421" t="s">
        <v>135</v>
      </c>
      <c r="G421">
        <v>4</v>
      </c>
      <c r="H421">
        <v>32</v>
      </c>
      <c r="I421">
        <v>2</v>
      </c>
      <c r="J421" t="s">
        <v>307</v>
      </c>
      <c r="K421" t="s">
        <v>36</v>
      </c>
    </row>
    <row r="422" spans="1:11" x14ac:dyDescent="0.25">
      <c r="A422">
        <v>266</v>
      </c>
      <c r="B422" t="s">
        <v>98</v>
      </c>
      <c r="C422" t="s">
        <v>100</v>
      </c>
      <c r="D422" t="s">
        <v>383</v>
      </c>
      <c r="E422" t="s">
        <v>134</v>
      </c>
      <c r="F422" t="s">
        <v>135</v>
      </c>
      <c r="G422">
        <v>5</v>
      </c>
      <c r="H422">
        <v>32</v>
      </c>
      <c r="I422">
        <v>3</v>
      </c>
      <c r="J422" t="s">
        <v>349</v>
      </c>
      <c r="K422" t="s">
        <v>36</v>
      </c>
    </row>
    <row r="423" spans="1:11" x14ac:dyDescent="0.25">
      <c r="A423">
        <v>309</v>
      </c>
      <c r="B423" t="s">
        <v>75</v>
      </c>
      <c r="C423" t="s">
        <v>77</v>
      </c>
      <c r="D423" t="s">
        <v>383</v>
      </c>
      <c r="E423" t="s">
        <v>134</v>
      </c>
      <c r="F423" t="s">
        <v>135</v>
      </c>
      <c r="G423">
        <v>7</v>
      </c>
      <c r="H423">
        <v>32</v>
      </c>
      <c r="I423">
        <v>4</v>
      </c>
      <c r="J423" t="s">
        <v>297</v>
      </c>
      <c r="K423" t="s">
        <v>36</v>
      </c>
    </row>
    <row r="424" spans="1:11" x14ac:dyDescent="0.25">
      <c r="A424">
        <v>403</v>
      </c>
      <c r="B424" t="s">
        <v>125</v>
      </c>
      <c r="C424" t="s">
        <v>126</v>
      </c>
      <c r="D424" t="s">
        <v>383</v>
      </c>
      <c r="E424" t="s">
        <v>134</v>
      </c>
      <c r="F424" t="s">
        <v>135</v>
      </c>
      <c r="G424">
        <v>4</v>
      </c>
      <c r="H424">
        <v>32</v>
      </c>
      <c r="I424">
        <v>2</v>
      </c>
      <c r="J424" t="s">
        <v>307</v>
      </c>
      <c r="K424" t="s">
        <v>36</v>
      </c>
    </row>
    <row r="425" spans="1:11" x14ac:dyDescent="0.25">
      <c r="A425">
        <v>451</v>
      </c>
      <c r="B425" t="s">
        <v>78</v>
      </c>
      <c r="C425" t="s">
        <v>79</v>
      </c>
      <c r="D425" t="s">
        <v>383</v>
      </c>
      <c r="E425" t="s">
        <v>134</v>
      </c>
      <c r="F425" t="s">
        <v>135</v>
      </c>
      <c r="G425">
        <v>7</v>
      </c>
      <c r="H425">
        <v>32</v>
      </c>
      <c r="I425">
        <v>5</v>
      </c>
      <c r="J425" t="s">
        <v>311</v>
      </c>
      <c r="K425" t="s">
        <v>36</v>
      </c>
    </row>
    <row r="426" spans="1:11" x14ac:dyDescent="0.25">
      <c r="A426">
        <v>505</v>
      </c>
      <c r="B426" t="s">
        <v>114</v>
      </c>
      <c r="C426" t="s">
        <v>116</v>
      </c>
      <c r="D426" t="s">
        <v>383</v>
      </c>
      <c r="E426" t="s">
        <v>134</v>
      </c>
      <c r="F426" t="s">
        <v>135</v>
      </c>
      <c r="G426">
        <v>7</v>
      </c>
      <c r="H426">
        <v>32</v>
      </c>
      <c r="I426">
        <v>4</v>
      </c>
      <c r="J426" t="s">
        <v>297</v>
      </c>
      <c r="K426" t="s">
        <v>36</v>
      </c>
    </row>
    <row r="427" spans="1:11" x14ac:dyDescent="0.25">
      <c r="A427">
        <v>528</v>
      </c>
      <c r="B427" t="s">
        <v>302</v>
      </c>
      <c r="C427" t="s">
        <v>303</v>
      </c>
      <c r="D427" t="s">
        <v>383</v>
      </c>
      <c r="E427" t="s">
        <v>134</v>
      </c>
      <c r="F427" t="s">
        <v>135</v>
      </c>
      <c r="G427">
        <v>4</v>
      </c>
      <c r="H427">
        <v>32</v>
      </c>
      <c r="I427">
        <v>2</v>
      </c>
      <c r="J427" t="s">
        <v>307</v>
      </c>
      <c r="K427" t="s">
        <v>36</v>
      </c>
    </row>
    <row r="428" spans="1:11" x14ac:dyDescent="0.25">
      <c r="A428">
        <v>583</v>
      </c>
      <c r="B428" t="s">
        <v>305</v>
      </c>
      <c r="C428" t="s">
        <v>306</v>
      </c>
      <c r="D428" t="s">
        <v>383</v>
      </c>
      <c r="E428" t="s">
        <v>134</v>
      </c>
      <c r="F428" t="s">
        <v>135</v>
      </c>
      <c r="G428">
        <v>7</v>
      </c>
      <c r="H428">
        <v>32</v>
      </c>
      <c r="I428">
        <v>5</v>
      </c>
      <c r="J428" t="s">
        <v>311</v>
      </c>
      <c r="K428" t="s">
        <v>36</v>
      </c>
    </row>
    <row r="429" spans="1:11" x14ac:dyDescent="0.25">
      <c r="A429">
        <v>612</v>
      </c>
      <c r="B429" t="s">
        <v>85</v>
      </c>
      <c r="C429" t="s">
        <v>87</v>
      </c>
      <c r="D429" t="s">
        <v>383</v>
      </c>
      <c r="E429" t="s">
        <v>134</v>
      </c>
      <c r="F429" t="s">
        <v>135</v>
      </c>
      <c r="G429">
        <v>5</v>
      </c>
      <c r="H429">
        <v>32</v>
      </c>
      <c r="I429">
        <v>3</v>
      </c>
      <c r="J429" t="s">
        <v>349</v>
      </c>
      <c r="K429" t="s">
        <v>36</v>
      </c>
    </row>
    <row r="430" spans="1:11" x14ac:dyDescent="0.25">
      <c r="A430">
        <v>27</v>
      </c>
      <c r="B430" t="s">
        <v>141</v>
      </c>
      <c r="C430" t="s">
        <v>142</v>
      </c>
      <c r="D430" t="s">
        <v>384</v>
      </c>
      <c r="E430" t="s">
        <v>46</v>
      </c>
      <c r="F430" t="s">
        <v>48</v>
      </c>
      <c r="G430">
        <v>2</v>
      </c>
      <c r="H430">
        <v>33</v>
      </c>
      <c r="I430">
        <v>3</v>
      </c>
      <c r="J430" t="s">
        <v>349</v>
      </c>
      <c r="K430" t="s">
        <v>36</v>
      </c>
    </row>
    <row r="431" spans="1:11" x14ac:dyDescent="0.25">
      <c r="A431">
        <v>43</v>
      </c>
      <c r="B431" t="s">
        <v>143</v>
      </c>
      <c r="C431" t="s">
        <v>144</v>
      </c>
      <c r="D431" t="s">
        <v>384</v>
      </c>
      <c r="E431" t="s">
        <v>46</v>
      </c>
      <c r="F431" t="s">
        <v>48</v>
      </c>
      <c r="G431">
        <v>3</v>
      </c>
      <c r="H431">
        <v>33</v>
      </c>
      <c r="I431">
        <v>4</v>
      </c>
      <c r="J431" t="s">
        <v>297</v>
      </c>
      <c r="K431" t="s">
        <v>36</v>
      </c>
    </row>
    <row r="432" spans="1:11" x14ac:dyDescent="0.25">
      <c r="A432">
        <v>53</v>
      </c>
      <c r="B432" t="s">
        <v>266</v>
      </c>
      <c r="C432" t="s">
        <v>267</v>
      </c>
      <c r="D432" t="s">
        <v>384</v>
      </c>
      <c r="E432" t="s">
        <v>46</v>
      </c>
      <c r="F432" t="s">
        <v>48</v>
      </c>
      <c r="G432">
        <v>5</v>
      </c>
      <c r="H432">
        <v>33</v>
      </c>
      <c r="I432">
        <v>5</v>
      </c>
      <c r="J432" t="s">
        <v>385</v>
      </c>
      <c r="K432" t="s">
        <v>36</v>
      </c>
    </row>
    <row r="433" spans="1:11" x14ac:dyDescent="0.25">
      <c r="A433">
        <v>86</v>
      </c>
      <c r="B433" t="s">
        <v>37</v>
      </c>
      <c r="C433" t="s">
        <v>39</v>
      </c>
      <c r="D433" t="s">
        <v>384</v>
      </c>
      <c r="E433" t="s">
        <v>46</v>
      </c>
      <c r="F433" t="s">
        <v>48</v>
      </c>
      <c r="G433">
        <v>6</v>
      </c>
      <c r="H433">
        <v>33</v>
      </c>
      <c r="I433">
        <v>5</v>
      </c>
      <c r="J433" t="s">
        <v>311</v>
      </c>
      <c r="K433" t="s">
        <v>36</v>
      </c>
    </row>
    <row r="434" spans="1:11" x14ac:dyDescent="0.25">
      <c r="A434">
        <v>135</v>
      </c>
      <c r="B434" t="s">
        <v>47</v>
      </c>
      <c r="C434" t="s">
        <v>49</v>
      </c>
      <c r="D434" t="s">
        <v>384</v>
      </c>
      <c r="E434" t="s">
        <v>46</v>
      </c>
      <c r="F434" t="s">
        <v>48</v>
      </c>
      <c r="G434">
        <v>3</v>
      </c>
      <c r="H434">
        <v>33</v>
      </c>
      <c r="I434">
        <v>1</v>
      </c>
      <c r="J434" t="s">
        <v>286</v>
      </c>
      <c r="K434" t="s">
        <v>36</v>
      </c>
    </row>
    <row r="435" spans="1:11" x14ac:dyDescent="0.25">
      <c r="A435">
        <v>149</v>
      </c>
      <c r="B435" t="s">
        <v>53</v>
      </c>
      <c r="C435" t="s">
        <v>55</v>
      </c>
      <c r="D435" t="s">
        <v>384</v>
      </c>
      <c r="E435" t="s">
        <v>46</v>
      </c>
      <c r="F435" t="s">
        <v>48</v>
      </c>
      <c r="G435">
        <v>6</v>
      </c>
      <c r="H435">
        <v>33</v>
      </c>
      <c r="I435">
        <v>1</v>
      </c>
      <c r="J435" t="s">
        <v>316</v>
      </c>
      <c r="K435" t="s">
        <v>36</v>
      </c>
    </row>
    <row r="436" spans="1:11" x14ac:dyDescent="0.25">
      <c r="A436">
        <v>167</v>
      </c>
      <c r="B436" t="s">
        <v>60</v>
      </c>
      <c r="C436" t="s">
        <v>61</v>
      </c>
      <c r="D436" t="s">
        <v>384</v>
      </c>
      <c r="E436" t="s">
        <v>46</v>
      </c>
      <c r="F436" t="s">
        <v>48</v>
      </c>
      <c r="G436">
        <v>3</v>
      </c>
      <c r="H436">
        <v>33</v>
      </c>
      <c r="I436">
        <v>1</v>
      </c>
      <c r="J436" t="s">
        <v>286</v>
      </c>
      <c r="K436" t="s">
        <v>36</v>
      </c>
    </row>
    <row r="437" spans="1:11" x14ac:dyDescent="0.25">
      <c r="A437">
        <v>236</v>
      </c>
      <c r="B437" t="s">
        <v>107</v>
      </c>
      <c r="C437" t="s">
        <v>108</v>
      </c>
      <c r="D437" t="s">
        <v>384</v>
      </c>
      <c r="E437" t="s">
        <v>46</v>
      </c>
      <c r="F437" t="s">
        <v>48</v>
      </c>
      <c r="G437">
        <v>3</v>
      </c>
      <c r="H437">
        <v>33</v>
      </c>
      <c r="I437">
        <v>1</v>
      </c>
      <c r="J437" t="s">
        <v>286</v>
      </c>
      <c r="K437" t="s">
        <v>36</v>
      </c>
    </row>
    <row r="438" spans="1:11" x14ac:dyDescent="0.25">
      <c r="A438">
        <v>252</v>
      </c>
      <c r="B438" t="s">
        <v>308</v>
      </c>
      <c r="C438" t="s">
        <v>309</v>
      </c>
      <c r="D438" t="s">
        <v>384</v>
      </c>
      <c r="E438" t="s">
        <v>46</v>
      </c>
      <c r="F438" t="s">
        <v>48</v>
      </c>
      <c r="G438">
        <v>6</v>
      </c>
      <c r="H438">
        <v>33</v>
      </c>
      <c r="I438">
        <v>4</v>
      </c>
      <c r="J438" t="s">
        <v>297</v>
      </c>
      <c r="K438" t="s">
        <v>36</v>
      </c>
    </row>
    <row r="439" spans="1:11" x14ac:dyDescent="0.25">
      <c r="A439">
        <v>275</v>
      </c>
      <c r="B439" t="s">
        <v>98</v>
      </c>
      <c r="C439" t="s">
        <v>100</v>
      </c>
      <c r="D439" t="s">
        <v>384</v>
      </c>
      <c r="E439" t="s">
        <v>46</v>
      </c>
      <c r="F439" t="s">
        <v>48</v>
      </c>
      <c r="G439">
        <v>7</v>
      </c>
      <c r="H439">
        <v>33</v>
      </c>
      <c r="I439">
        <v>4</v>
      </c>
      <c r="J439" t="s">
        <v>297</v>
      </c>
      <c r="K439" t="s">
        <v>36</v>
      </c>
    </row>
    <row r="440" spans="1:11" x14ac:dyDescent="0.25">
      <c r="A440">
        <v>288</v>
      </c>
      <c r="B440" t="s">
        <v>291</v>
      </c>
      <c r="C440" t="s">
        <v>292</v>
      </c>
      <c r="D440" t="s">
        <v>384</v>
      </c>
      <c r="E440" t="s">
        <v>46</v>
      </c>
      <c r="F440" t="s">
        <v>48</v>
      </c>
      <c r="G440">
        <v>4</v>
      </c>
      <c r="H440">
        <v>33</v>
      </c>
      <c r="I440">
        <v>3</v>
      </c>
      <c r="J440" t="s">
        <v>304</v>
      </c>
      <c r="K440" t="s">
        <v>36</v>
      </c>
    </row>
    <row r="441" spans="1:11" x14ac:dyDescent="0.25">
      <c r="A441">
        <v>336</v>
      </c>
      <c r="B441" t="s">
        <v>293</v>
      </c>
      <c r="C441" t="s">
        <v>294</v>
      </c>
      <c r="D441" t="s">
        <v>384</v>
      </c>
      <c r="E441" t="s">
        <v>46</v>
      </c>
      <c r="F441" t="s">
        <v>48</v>
      </c>
      <c r="G441">
        <v>4</v>
      </c>
      <c r="H441">
        <v>33</v>
      </c>
      <c r="I441">
        <v>3</v>
      </c>
      <c r="J441" t="s">
        <v>304</v>
      </c>
      <c r="K441" t="s">
        <v>36</v>
      </c>
    </row>
    <row r="442" spans="1:11" x14ac:dyDescent="0.25">
      <c r="A442">
        <v>365</v>
      </c>
      <c r="B442" t="s">
        <v>109</v>
      </c>
      <c r="C442" t="s">
        <v>110</v>
      </c>
      <c r="D442" t="s">
        <v>384</v>
      </c>
      <c r="E442" t="s">
        <v>46</v>
      </c>
      <c r="F442" t="s">
        <v>48</v>
      </c>
      <c r="G442">
        <v>4</v>
      </c>
      <c r="H442">
        <v>33</v>
      </c>
      <c r="I442">
        <v>2</v>
      </c>
      <c r="J442" t="s">
        <v>307</v>
      </c>
      <c r="K442" t="s">
        <v>36</v>
      </c>
    </row>
    <row r="443" spans="1:11" x14ac:dyDescent="0.25">
      <c r="A443">
        <v>384</v>
      </c>
      <c r="B443" t="s">
        <v>295</v>
      </c>
      <c r="C443" t="s">
        <v>296</v>
      </c>
      <c r="D443" t="s">
        <v>384</v>
      </c>
      <c r="E443" t="s">
        <v>46</v>
      </c>
      <c r="F443" t="s">
        <v>48</v>
      </c>
      <c r="G443">
        <v>6</v>
      </c>
      <c r="H443">
        <v>33</v>
      </c>
      <c r="I443">
        <v>5</v>
      </c>
      <c r="J443" t="s">
        <v>311</v>
      </c>
      <c r="K443" t="s">
        <v>36</v>
      </c>
    </row>
    <row r="444" spans="1:11" x14ac:dyDescent="0.25">
      <c r="A444">
        <v>411</v>
      </c>
      <c r="B444" t="s">
        <v>125</v>
      </c>
      <c r="C444" t="s">
        <v>126</v>
      </c>
      <c r="D444" t="s">
        <v>384</v>
      </c>
      <c r="E444" t="s">
        <v>46</v>
      </c>
      <c r="F444" t="s">
        <v>48</v>
      </c>
      <c r="G444">
        <v>4</v>
      </c>
      <c r="H444">
        <v>33</v>
      </c>
      <c r="I444">
        <v>2</v>
      </c>
      <c r="J444" t="s">
        <v>307</v>
      </c>
      <c r="K444" t="s">
        <v>36</v>
      </c>
    </row>
    <row r="445" spans="1:11" x14ac:dyDescent="0.25">
      <c r="A445">
        <v>432</v>
      </c>
      <c r="B445" t="s">
        <v>298</v>
      </c>
      <c r="C445" t="s">
        <v>299</v>
      </c>
      <c r="D445" t="s">
        <v>384</v>
      </c>
      <c r="E445" t="s">
        <v>46</v>
      </c>
      <c r="F445" t="s">
        <v>48</v>
      </c>
      <c r="G445">
        <v>3</v>
      </c>
      <c r="H445">
        <v>33</v>
      </c>
      <c r="I445">
        <v>1</v>
      </c>
      <c r="J445" t="s">
        <v>286</v>
      </c>
      <c r="K445" t="s">
        <v>36</v>
      </c>
    </row>
    <row r="446" spans="1:11" x14ac:dyDescent="0.25">
      <c r="A446">
        <v>480</v>
      </c>
      <c r="B446" t="s">
        <v>300</v>
      </c>
      <c r="C446" t="s">
        <v>301</v>
      </c>
      <c r="D446" t="s">
        <v>384</v>
      </c>
      <c r="E446" t="s">
        <v>46</v>
      </c>
      <c r="F446" t="s">
        <v>48</v>
      </c>
      <c r="G446">
        <v>6</v>
      </c>
      <c r="H446">
        <v>33</v>
      </c>
      <c r="I446">
        <v>4</v>
      </c>
      <c r="J446" t="s">
        <v>297</v>
      </c>
      <c r="K446" t="s">
        <v>36</v>
      </c>
    </row>
    <row r="447" spans="1:11" x14ac:dyDescent="0.25">
      <c r="A447">
        <v>534</v>
      </c>
      <c r="B447" t="s">
        <v>302</v>
      </c>
      <c r="C447" t="s">
        <v>303</v>
      </c>
      <c r="D447" t="s">
        <v>384</v>
      </c>
      <c r="E447" t="s">
        <v>46</v>
      </c>
      <c r="F447" t="s">
        <v>48</v>
      </c>
      <c r="G447">
        <v>4</v>
      </c>
      <c r="H447">
        <v>33</v>
      </c>
      <c r="I447">
        <v>2</v>
      </c>
      <c r="J447" t="s">
        <v>307</v>
      </c>
      <c r="K447" t="s">
        <v>36</v>
      </c>
    </row>
    <row r="448" spans="1:11" x14ac:dyDescent="0.25">
      <c r="A448">
        <v>566</v>
      </c>
      <c r="B448" t="s">
        <v>81</v>
      </c>
      <c r="C448" t="s">
        <v>83</v>
      </c>
      <c r="D448" t="s">
        <v>384</v>
      </c>
      <c r="E448" t="s">
        <v>46</v>
      </c>
      <c r="F448" t="s">
        <v>48</v>
      </c>
      <c r="G448">
        <v>5</v>
      </c>
      <c r="H448">
        <v>33</v>
      </c>
      <c r="I448">
        <v>3</v>
      </c>
      <c r="J448" t="s">
        <v>349</v>
      </c>
      <c r="K448" t="s">
        <v>36</v>
      </c>
    </row>
    <row r="449" spans="1:11" x14ac:dyDescent="0.25">
      <c r="A449">
        <v>591</v>
      </c>
      <c r="B449" t="s">
        <v>305</v>
      </c>
      <c r="C449" t="s">
        <v>306</v>
      </c>
      <c r="D449" t="s">
        <v>384</v>
      </c>
      <c r="E449" t="s">
        <v>46</v>
      </c>
      <c r="F449" t="s">
        <v>48</v>
      </c>
      <c r="G449">
        <v>7</v>
      </c>
      <c r="H449">
        <v>33</v>
      </c>
      <c r="I449">
        <v>4</v>
      </c>
      <c r="J449" t="s">
        <v>297</v>
      </c>
      <c r="K449" t="s">
        <v>36</v>
      </c>
    </row>
    <row r="450" spans="1:11" x14ac:dyDescent="0.25">
      <c r="A450">
        <v>1</v>
      </c>
      <c r="B450" t="s">
        <v>119</v>
      </c>
      <c r="C450" t="s">
        <v>120</v>
      </c>
      <c r="D450" t="s">
        <v>386</v>
      </c>
      <c r="E450" t="s">
        <v>165</v>
      </c>
      <c r="F450" t="s">
        <v>166</v>
      </c>
      <c r="G450">
        <v>5</v>
      </c>
      <c r="H450">
        <v>6.7249999999999996</v>
      </c>
      <c r="I450">
        <v>5</v>
      </c>
      <c r="J450" t="s">
        <v>311</v>
      </c>
      <c r="K450" t="s">
        <v>146</v>
      </c>
    </row>
    <row r="451" spans="1:11" x14ac:dyDescent="0.25">
      <c r="A451">
        <v>14</v>
      </c>
      <c r="B451" t="s">
        <v>141</v>
      </c>
      <c r="C451" t="s">
        <v>142</v>
      </c>
      <c r="D451" t="s">
        <v>386</v>
      </c>
      <c r="E451" t="s">
        <v>165</v>
      </c>
      <c r="F451" t="s">
        <v>166</v>
      </c>
      <c r="G451">
        <v>1</v>
      </c>
      <c r="H451">
        <v>6.7249999999999996</v>
      </c>
      <c r="I451">
        <v>2</v>
      </c>
      <c r="J451" t="s">
        <v>307</v>
      </c>
      <c r="K451" t="s">
        <v>146</v>
      </c>
    </row>
    <row r="452" spans="1:11" x14ac:dyDescent="0.25">
      <c r="A452">
        <v>74</v>
      </c>
      <c r="B452" t="s">
        <v>37</v>
      </c>
      <c r="C452" t="s">
        <v>39</v>
      </c>
      <c r="D452" t="s">
        <v>386</v>
      </c>
      <c r="E452" t="s">
        <v>165</v>
      </c>
      <c r="F452" t="s">
        <v>166</v>
      </c>
      <c r="G452">
        <v>3</v>
      </c>
      <c r="H452">
        <v>6.7249999999999996</v>
      </c>
      <c r="I452">
        <v>1</v>
      </c>
      <c r="J452" t="s">
        <v>286</v>
      </c>
      <c r="K452" t="s">
        <v>146</v>
      </c>
    </row>
    <row r="453" spans="1:11" x14ac:dyDescent="0.25">
      <c r="A453">
        <v>90</v>
      </c>
      <c r="B453" t="s">
        <v>89</v>
      </c>
      <c r="C453" t="s">
        <v>90</v>
      </c>
      <c r="D453" t="s">
        <v>386</v>
      </c>
      <c r="E453" t="s">
        <v>165</v>
      </c>
      <c r="F453" t="s">
        <v>166</v>
      </c>
      <c r="G453">
        <v>3</v>
      </c>
      <c r="H453">
        <v>6.7249999999999996</v>
      </c>
      <c r="I453">
        <v>1</v>
      </c>
      <c r="J453" t="s">
        <v>286</v>
      </c>
      <c r="K453" t="s">
        <v>146</v>
      </c>
    </row>
    <row r="454" spans="1:11" x14ac:dyDescent="0.25">
      <c r="A454">
        <v>106</v>
      </c>
      <c r="B454" t="s">
        <v>43</v>
      </c>
      <c r="C454" t="s">
        <v>45</v>
      </c>
      <c r="D454" t="s">
        <v>386</v>
      </c>
      <c r="E454" t="s">
        <v>165</v>
      </c>
      <c r="F454" t="s">
        <v>166</v>
      </c>
      <c r="G454">
        <v>4</v>
      </c>
      <c r="H454">
        <v>6.7249999999999996</v>
      </c>
      <c r="I454">
        <v>3</v>
      </c>
      <c r="J454" t="s">
        <v>349</v>
      </c>
      <c r="K454" t="s">
        <v>146</v>
      </c>
    </row>
    <row r="455" spans="1:11" x14ac:dyDescent="0.25">
      <c r="A455">
        <v>138</v>
      </c>
      <c r="B455" t="s">
        <v>53</v>
      </c>
      <c r="C455" t="s">
        <v>55</v>
      </c>
      <c r="D455" t="s">
        <v>386</v>
      </c>
      <c r="E455" t="s">
        <v>165</v>
      </c>
      <c r="F455" t="s">
        <v>166</v>
      </c>
      <c r="G455">
        <v>6</v>
      </c>
      <c r="H455">
        <v>6.7249999999999996</v>
      </c>
      <c r="I455">
        <v>1</v>
      </c>
      <c r="J455" t="s">
        <v>316</v>
      </c>
      <c r="K455" t="s">
        <v>146</v>
      </c>
    </row>
    <row r="456" spans="1:11" x14ac:dyDescent="0.25">
      <c r="A456">
        <v>154</v>
      </c>
      <c r="B456" t="s">
        <v>60</v>
      </c>
      <c r="C456" t="s">
        <v>61</v>
      </c>
      <c r="D456" t="s">
        <v>386</v>
      </c>
      <c r="E456" t="s">
        <v>165</v>
      </c>
      <c r="F456" t="s">
        <v>166</v>
      </c>
      <c r="G456">
        <v>7</v>
      </c>
      <c r="H456">
        <v>6.7249999999999996</v>
      </c>
      <c r="I456">
        <v>5</v>
      </c>
      <c r="J456" t="s">
        <v>311</v>
      </c>
      <c r="K456" t="s">
        <v>146</v>
      </c>
    </row>
    <row r="457" spans="1:11" x14ac:dyDescent="0.25">
      <c r="A457">
        <v>171</v>
      </c>
      <c r="B457" t="s">
        <v>63</v>
      </c>
      <c r="C457" t="s">
        <v>65</v>
      </c>
      <c r="D457" t="s">
        <v>386</v>
      </c>
      <c r="E457" t="s">
        <v>165</v>
      </c>
      <c r="F457" t="s">
        <v>166</v>
      </c>
      <c r="G457">
        <v>5</v>
      </c>
      <c r="H457">
        <v>6.7249999999999996</v>
      </c>
      <c r="I457">
        <v>1</v>
      </c>
      <c r="J457" t="s">
        <v>316</v>
      </c>
      <c r="K457" t="s">
        <v>146</v>
      </c>
    </row>
    <row r="458" spans="1:11" x14ac:dyDescent="0.25">
      <c r="A458">
        <v>195</v>
      </c>
      <c r="B458" t="s">
        <v>72</v>
      </c>
      <c r="C458" t="s">
        <v>73</v>
      </c>
      <c r="D458" t="s">
        <v>386</v>
      </c>
      <c r="E458" t="s">
        <v>165</v>
      </c>
      <c r="F458" t="s">
        <v>166</v>
      </c>
      <c r="G458">
        <v>7</v>
      </c>
      <c r="H458">
        <v>6.7249999999999996</v>
      </c>
      <c r="I458">
        <v>5</v>
      </c>
      <c r="J458" t="s">
        <v>311</v>
      </c>
      <c r="K458" t="s">
        <v>146</v>
      </c>
    </row>
    <row r="459" spans="1:11" x14ac:dyDescent="0.25">
      <c r="A459">
        <v>218</v>
      </c>
      <c r="B459" t="s">
        <v>107</v>
      </c>
      <c r="C459" t="s">
        <v>108</v>
      </c>
      <c r="D459" t="s">
        <v>386</v>
      </c>
      <c r="E459" t="s">
        <v>165</v>
      </c>
      <c r="F459" t="s">
        <v>166</v>
      </c>
      <c r="G459">
        <v>7</v>
      </c>
      <c r="H459">
        <v>6.7249999999999996</v>
      </c>
      <c r="I459">
        <v>5</v>
      </c>
      <c r="J459" t="s">
        <v>311</v>
      </c>
      <c r="K459" t="s">
        <v>146</v>
      </c>
    </row>
    <row r="460" spans="1:11" x14ac:dyDescent="0.25">
      <c r="A460">
        <v>254</v>
      </c>
      <c r="B460" t="s">
        <v>98</v>
      </c>
      <c r="C460" t="s">
        <v>100</v>
      </c>
      <c r="D460" t="s">
        <v>386</v>
      </c>
      <c r="E460" t="s">
        <v>165</v>
      </c>
      <c r="F460" t="s">
        <v>166</v>
      </c>
      <c r="G460">
        <v>4</v>
      </c>
      <c r="H460">
        <v>6.7249999999999996</v>
      </c>
      <c r="I460">
        <v>2</v>
      </c>
      <c r="J460" t="s">
        <v>307</v>
      </c>
      <c r="K460" t="s">
        <v>146</v>
      </c>
    </row>
    <row r="461" spans="1:11" x14ac:dyDescent="0.25">
      <c r="A461">
        <v>290</v>
      </c>
      <c r="B461" t="s">
        <v>75</v>
      </c>
      <c r="C461" t="s">
        <v>77</v>
      </c>
      <c r="D461" t="s">
        <v>386</v>
      </c>
      <c r="E461" t="s">
        <v>165</v>
      </c>
      <c r="F461" t="s">
        <v>166</v>
      </c>
      <c r="G461">
        <v>5</v>
      </c>
      <c r="H461">
        <v>6.7249999999999996</v>
      </c>
      <c r="I461">
        <v>3</v>
      </c>
      <c r="J461" t="s">
        <v>349</v>
      </c>
      <c r="K461" t="s">
        <v>146</v>
      </c>
    </row>
    <row r="462" spans="1:11" x14ac:dyDescent="0.25">
      <c r="A462">
        <v>338</v>
      </c>
      <c r="B462" t="s">
        <v>109</v>
      </c>
      <c r="C462" t="s">
        <v>110</v>
      </c>
      <c r="D462" t="s">
        <v>386</v>
      </c>
      <c r="E462" t="s">
        <v>165</v>
      </c>
      <c r="F462" t="s">
        <v>166</v>
      </c>
      <c r="G462">
        <v>3</v>
      </c>
      <c r="H462">
        <v>6.7249999999999996</v>
      </c>
      <c r="I462">
        <v>1</v>
      </c>
      <c r="J462" t="s">
        <v>286</v>
      </c>
      <c r="K462" t="s">
        <v>146</v>
      </c>
    </row>
    <row r="463" spans="1:11" x14ac:dyDescent="0.25">
      <c r="A463">
        <v>370</v>
      </c>
      <c r="B463" t="s">
        <v>295</v>
      </c>
      <c r="C463" t="s">
        <v>296</v>
      </c>
      <c r="D463" t="s">
        <v>386</v>
      </c>
      <c r="E463" t="s">
        <v>165</v>
      </c>
      <c r="F463" t="s">
        <v>166</v>
      </c>
      <c r="G463">
        <v>3</v>
      </c>
      <c r="H463">
        <v>6.7249999999999996</v>
      </c>
      <c r="I463">
        <v>1</v>
      </c>
      <c r="J463" t="s">
        <v>286</v>
      </c>
      <c r="K463" t="s">
        <v>146</v>
      </c>
    </row>
    <row r="464" spans="1:11" x14ac:dyDescent="0.25">
      <c r="A464">
        <v>387</v>
      </c>
      <c r="B464" t="s">
        <v>125</v>
      </c>
      <c r="C464" t="s">
        <v>126</v>
      </c>
      <c r="D464" t="s">
        <v>386</v>
      </c>
      <c r="E464" t="s">
        <v>165</v>
      </c>
      <c r="F464" t="s">
        <v>166</v>
      </c>
      <c r="G464">
        <v>5</v>
      </c>
      <c r="H464">
        <v>6.7249999999999996</v>
      </c>
      <c r="I464">
        <v>3</v>
      </c>
      <c r="J464" t="s">
        <v>349</v>
      </c>
      <c r="K464" t="s">
        <v>146</v>
      </c>
    </row>
    <row r="465" spans="1:11" x14ac:dyDescent="0.25">
      <c r="A465">
        <v>418</v>
      </c>
      <c r="B465" t="s">
        <v>298</v>
      </c>
      <c r="C465" t="s">
        <v>299</v>
      </c>
      <c r="D465" t="s">
        <v>386</v>
      </c>
      <c r="E465" t="s">
        <v>165</v>
      </c>
      <c r="F465" t="s">
        <v>166</v>
      </c>
      <c r="G465">
        <v>3</v>
      </c>
      <c r="H465">
        <v>6.7249999999999996</v>
      </c>
      <c r="I465">
        <v>1</v>
      </c>
      <c r="J465" t="s">
        <v>286</v>
      </c>
      <c r="K465" t="s">
        <v>146</v>
      </c>
    </row>
    <row r="466" spans="1:11" x14ac:dyDescent="0.25">
      <c r="A466">
        <v>435</v>
      </c>
      <c r="B466" t="s">
        <v>78</v>
      </c>
      <c r="C466" t="s">
        <v>79</v>
      </c>
      <c r="D466" t="s">
        <v>386</v>
      </c>
      <c r="E466" t="s">
        <v>165</v>
      </c>
      <c r="F466" t="s">
        <v>166</v>
      </c>
      <c r="G466">
        <v>5</v>
      </c>
      <c r="H466">
        <v>6.7249999999999996</v>
      </c>
      <c r="I466">
        <v>3</v>
      </c>
      <c r="J466" t="s">
        <v>349</v>
      </c>
      <c r="K466" t="s">
        <v>146</v>
      </c>
    </row>
    <row r="467" spans="1:11" x14ac:dyDescent="0.25">
      <c r="A467">
        <v>483</v>
      </c>
      <c r="B467" t="s">
        <v>114</v>
      </c>
      <c r="C467" t="s">
        <v>116</v>
      </c>
      <c r="D467" t="s">
        <v>386</v>
      </c>
      <c r="E467" t="s">
        <v>165</v>
      </c>
      <c r="F467" t="s">
        <v>166</v>
      </c>
      <c r="G467">
        <v>7</v>
      </c>
      <c r="H467">
        <v>6.7249999999999996</v>
      </c>
      <c r="I467">
        <v>5</v>
      </c>
      <c r="J467" t="s">
        <v>311</v>
      </c>
      <c r="K467" t="s">
        <v>146</v>
      </c>
    </row>
    <row r="468" spans="1:11" x14ac:dyDescent="0.25">
      <c r="A468">
        <v>538</v>
      </c>
      <c r="B468" t="s">
        <v>81</v>
      </c>
      <c r="C468" t="s">
        <v>83</v>
      </c>
      <c r="D468" t="s">
        <v>386</v>
      </c>
      <c r="E468" t="s">
        <v>165</v>
      </c>
      <c r="F468" t="s">
        <v>166</v>
      </c>
      <c r="G468">
        <v>4</v>
      </c>
      <c r="H468">
        <v>6.7249999999999996</v>
      </c>
      <c r="I468">
        <v>2</v>
      </c>
      <c r="J468" t="s">
        <v>307</v>
      </c>
      <c r="K468" t="s">
        <v>146</v>
      </c>
    </row>
    <row r="469" spans="1:11" x14ac:dyDescent="0.25">
      <c r="A469">
        <v>570</v>
      </c>
      <c r="B469" t="s">
        <v>305</v>
      </c>
      <c r="C469" t="s">
        <v>306</v>
      </c>
      <c r="D469" t="s">
        <v>386</v>
      </c>
      <c r="E469" t="s">
        <v>165</v>
      </c>
      <c r="F469" t="s">
        <v>166</v>
      </c>
      <c r="G469">
        <v>3</v>
      </c>
      <c r="H469">
        <v>6.7249999999999996</v>
      </c>
      <c r="I469">
        <v>1</v>
      </c>
      <c r="J469" t="s">
        <v>286</v>
      </c>
      <c r="K469" t="s">
        <v>146</v>
      </c>
    </row>
    <row r="470" spans="1:11" x14ac:dyDescent="0.25">
      <c r="A470">
        <v>594</v>
      </c>
      <c r="B470" t="s">
        <v>85</v>
      </c>
      <c r="C470" t="s">
        <v>87</v>
      </c>
      <c r="D470" t="s">
        <v>386</v>
      </c>
      <c r="E470" t="s">
        <v>165</v>
      </c>
      <c r="F470" t="s">
        <v>166</v>
      </c>
      <c r="G470">
        <v>7</v>
      </c>
      <c r="H470">
        <v>6.7249999999999996</v>
      </c>
      <c r="I470">
        <v>5</v>
      </c>
      <c r="J470" t="s">
        <v>311</v>
      </c>
      <c r="K470" t="s">
        <v>146</v>
      </c>
    </row>
    <row r="471" spans="1:11" x14ac:dyDescent="0.25">
      <c r="A471">
        <v>4</v>
      </c>
      <c r="B471" t="s">
        <v>119</v>
      </c>
      <c r="C471" t="s">
        <v>120</v>
      </c>
      <c r="D471" t="s">
        <v>387</v>
      </c>
      <c r="E471" t="s">
        <v>25</v>
      </c>
      <c r="F471" t="s">
        <v>147</v>
      </c>
      <c r="G471">
        <v>2</v>
      </c>
      <c r="H471">
        <v>7.6</v>
      </c>
      <c r="I471">
        <v>1</v>
      </c>
      <c r="J471" t="s">
        <v>286</v>
      </c>
      <c r="K471" t="s">
        <v>146</v>
      </c>
    </row>
    <row r="472" spans="1:11" x14ac:dyDescent="0.25">
      <c r="A472">
        <v>17</v>
      </c>
      <c r="B472" t="s">
        <v>141</v>
      </c>
      <c r="C472" t="s">
        <v>142</v>
      </c>
      <c r="D472" t="s">
        <v>387</v>
      </c>
      <c r="E472" t="s">
        <v>25</v>
      </c>
      <c r="F472" t="s">
        <v>147</v>
      </c>
      <c r="G472">
        <v>1</v>
      </c>
      <c r="H472">
        <v>7.6</v>
      </c>
      <c r="I472">
        <v>2</v>
      </c>
      <c r="J472" t="s">
        <v>307</v>
      </c>
      <c r="K472" t="s">
        <v>146</v>
      </c>
    </row>
    <row r="473" spans="1:11" x14ac:dyDescent="0.25">
      <c r="A473">
        <v>31</v>
      </c>
      <c r="B473" t="s">
        <v>143</v>
      </c>
      <c r="C473" t="s">
        <v>144</v>
      </c>
      <c r="D473" t="s">
        <v>387</v>
      </c>
      <c r="E473" t="s">
        <v>25</v>
      </c>
      <c r="F473" t="s">
        <v>147</v>
      </c>
      <c r="G473">
        <v>5</v>
      </c>
      <c r="H473">
        <v>7.6</v>
      </c>
      <c r="I473">
        <v>4</v>
      </c>
      <c r="J473" t="s">
        <v>297</v>
      </c>
      <c r="K473" t="s">
        <v>146</v>
      </c>
    </row>
    <row r="474" spans="1:11" x14ac:dyDescent="0.25">
      <c r="A474">
        <v>46</v>
      </c>
      <c r="B474" t="s">
        <v>266</v>
      </c>
      <c r="C474" t="s">
        <v>267</v>
      </c>
      <c r="D474" t="s">
        <v>387</v>
      </c>
      <c r="E474" t="s">
        <v>25</v>
      </c>
      <c r="F474" t="s">
        <v>147</v>
      </c>
      <c r="G474">
        <v>6</v>
      </c>
      <c r="H474">
        <v>7.6</v>
      </c>
      <c r="I474">
        <v>5</v>
      </c>
      <c r="J474" t="s">
        <v>385</v>
      </c>
      <c r="K474" t="s">
        <v>146</v>
      </c>
    </row>
    <row r="475" spans="1:11" x14ac:dyDescent="0.25">
      <c r="A475">
        <v>60</v>
      </c>
      <c r="B475" t="s">
        <v>268</v>
      </c>
      <c r="C475" t="s">
        <v>269</v>
      </c>
      <c r="D475" t="s">
        <v>387</v>
      </c>
      <c r="E475" t="s">
        <v>25</v>
      </c>
      <c r="F475" t="s">
        <v>147</v>
      </c>
      <c r="G475">
        <v>3</v>
      </c>
      <c r="H475">
        <v>7.6</v>
      </c>
      <c r="I475">
        <v>3</v>
      </c>
      <c r="J475" t="s">
        <v>349</v>
      </c>
      <c r="K475" t="s">
        <v>146</v>
      </c>
    </row>
    <row r="476" spans="1:11" x14ac:dyDescent="0.25">
      <c r="A476">
        <v>76</v>
      </c>
      <c r="B476" t="s">
        <v>37</v>
      </c>
      <c r="C476" t="s">
        <v>39</v>
      </c>
      <c r="D476" t="s">
        <v>387</v>
      </c>
      <c r="E476" t="s">
        <v>25</v>
      </c>
      <c r="F476" t="s">
        <v>147</v>
      </c>
      <c r="G476">
        <v>6</v>
      </c>
      <c r="H476">
        <v>7.6</v>
      </c>
      <c r="I476">
        <v>5</v>
      </c>
      <c r="J476" t="s">
        <v>311</v>
      </c>
      <c r="K476" t="s">
        <v>146</v>
      </c>
    </row>
    <row r="477" spans="1:11" x14ac:dyDescent="0.25">
      <c r="A477">
        <v>91</v>
      </c>
      <c r="B477" t="s">
        <v>89</v>
      </c>
      <c r="C477" t="s">
        <v>90</v>
      </c>
      <c r="D477" t="s">
        <v>387</v>
      </c>
      <c r="E477" t="s">
        <v>25</v>
      </c>
      <c r="F477" t="s">
        <v>147</v>
      </c>
      <c r="G477">
        <v>6</v>
      </c>
      <c r="H477">
        <v>7.6</v>
      </c>
      <c r="I477">
        <v>5</v>
      </c>
      <c r="J477" t="s">
        <v>311</v>
      </c>
      <c r="K477" t="s">
        <v>146</v>
      </c>
    </row>
    <row r="478" spans="1:11" x14ac:dyDescent="0.25">
      <c r="A478">
        <v>107</v>
      </c>
      <c r="B478" t="s">
        <v>43</v>
      </c>
      <c r="C478" t="s">
        <v>45</v>
      </c>
      <c r="D478" t="s">
        <v>387</v>
      </c>
      <c r="E478" t="s">
        <v>25</v>
      </c>
      <c r="F478" t="s">
        <v>147</v>
      </c>
      <c r="G478">
        <v>3</v>
      </c>
      <c r="H478">
        <v>7.6</v>
      </c>
      <c r="I478">
        <v>1</v>
      </c>
      <c r="J478" t="s">
        <v>286</v>
      </c>
      <c r="K478" t="s">
        <v>146</v>
      </c>
    </row>
    <row r="479" spans="1:11" x14ac:dyDescent="0.25">
      <c r="A479">
        <v>123</v>
      </c>
      <c r="B479" t="s">
        <v>47</v>
      </c>
      <c r="C479" t="s">
        <v>49</v>
      </c>
      <c r="D479" t="s">
        <v>387</v>
      </c>
      <c r="E479" t="s">
        <v>25</v>
      </c>
      <c r="F479" t="s">
        <v>147</v>
      </c>
      <c r="G479">
        <v>6</v>
      </c>
      <c r="H479">
        <v>7.6</v>
      </c>
      <c r="I479">
        <v>5</v>
      </c>
      <c r="J479" t="s">
        <v>311</v>
      </c>
      <c r="K479" t="s">
        <v>146</v>
      </c>
    </row>
    <row r="480" spans="1:11" x14ac:dyDescent="0.25">
      <c r="A480">
        <v>140</v>
      </c>
      <c r="B480" t="s">
        <v>53</v>
      </c>
      <c r="C480" t="s">
        <v>55</v>
      </c>
      <c r="D480" t="s">
        <v>387</v>
      </c>
      <c r="E480" t="s">
        <v>25</v>
      </c>
      <c r="F480" t="s">
        <v>147</v>
      </c>
      <c r="G480">
        <v>7</v>
      </c>
      <c r="H480">
        <v>7.6</v>
      </c>
      <c r="I480">
        <v>4</v>
      </c>
      <c r="J480" t="s">
        <v>297</v>
      </c>
      <c r="K480" t="s">
        <v>146</v>
      </c>
    </row>
    <row r="481" spans="1:11" x14ac:dyDescent="0.25">
      <c r="A481">
        <v>156</v>
      </c>
      <c r="B481" t="s">
        <v>60</v>
      </c>
      <c r="C481" t="s">
        <v>61</v>
      </c>
      <c r="D481" t="s">
        <v>387</v>
      </c>
      <c r="E481" t="s">
        <v>25</v>
      </c>
      <c r="F481" t="s">
        <v>147</v>
      </c>
      <c r="G481">
        <v>7</v>
      </c>
      <c r="H481">
        <v>7.6</v>
      </c>
      <c r="I481">
        <v>4</v>
      </c>
      <c r="J481" t="s">
        <v>297</v>
      </c>
      <c r="K481" t="s">
        <v>146</v>
      </c>
    </row>
    <row r="482" spans="1:11" x14ac:dyDescent="0.25">
      <c r="A482">
        <v>174</v>
      </c>
      <c r="B482" t="s">
        <v>63</v>
      </c>
      <c r="C482" t="s">
        <v>65</v>
      </c>
      <c r="D482" t="s">
        <v>387</v>
      </c>
      <c r="E482" t="s">
        <v>25</v>
      </c>
      <c r="F482" t="s">
        <v>147</v>
      </c>
      <c r="G482">
        <v>5</v>
      </c>
      <c r="H482">
        <v>7.6</v>
      </c>
      <c r="I482">
        <v>1</v>
      </c>
      <c r="J482" t="s">
        <v>316</v>
      </c>
      <c r="K482" t="s">
        <v>146</v>
      </c>
    </row>
    <row r="483" spans="1:11" x14ac:dyDescent="0.25">
      <c r="A483">
        <v>197</v>
      </c>
      <c r="B483" t="s">
        <v>72</v>
      </c>
      <c r="C483" t="s">
        <v>73</v>
      </c>
      <c r="D483" t="s">
        <v>387</v>
      </c>
      <c r="E483" t="s">
        <v>25</v>
      </c>
      <c r="F483" t="s">
        <v>147</v>
      </c>
      <c r="G483">
        <v>5</v>
      </c>
      <c r="H483">
        <v>7.6</v>
      </c>
      <c r="I483">
        <v>3</v>
      </c>
      <c r="J483" t="s">
        <v>349</v>
      </c>
      <c r="K483" t="s">
        <v>146</v>
      </c>
    </row>
    <row r="484" spans="1:11" x14ac:dyDescent="0.25">
      <c r="A484">
        <v>221</v>
      </c>
      <c r="B484" t="s">
        <v>107</v>
      </c>
      <c r="C484" t="s">
        <v>108</v>
      </c>
      <c r="D484" t="s">
        <v>387</v>
      </c>
      <c r="E484" t="s">
        <v>25</v>
      </c>
      <c r="F484" t="s">
        <v>147</v>
      </c>
      <c r="G484">
        <v>4</v>
      </c>
      <c r="H484">
        <v>7.6</v>
      </c>
      <c r="I484">
        <v>2</v>
      </c>
      <c r="J484" t="s">
        <v>307</v>
      </c>
      <c r="K484" t="s">
        <v>146</v>
      </c>
    </row>
    <row r="485" spans="1:11" x14ac:dyDescent="0.25">
      <c r="A485">
        <v>242</v>
      </c>
      <c r="B485" t="s">
        <v>308</v>
      </c>
      <c r="C485" t="s">
        <v>309</v>
      </c>
      <c r="D485" t="s">
        <v>387</v>
      </c>
      <c r="E485" t="s">
        <v>25</v>
      </c>
      <c r="F485" t="s">
        <v>147</v>
      </c>
      <c r="G485">
        <v>3</v>
      </c>
      <c r="H485">
        <v>7.6</v>
      </c>
      <c r="I485">
        <v>1</v>
      </c>
      <c r="J485" t="s">
        <v>286</v>
      </c>
      <c r="K485" t="s">
        <v>146</v>
      </c>
    </row>
    <row r="486" spans="1:11" x14ac:dyDescent="0.25">
      <c r="A486">
        <v>257</v>
      </c>
      <c r="B486" t="s">
        <v>98</v>
      </c>
      <c r="C486" t="s">
        <v>100</v>
      </c>
      <c r="D486" t="s">
        <v>387</v>
      </c>
      <c r="E486" t="s">
        <v>25</v>
      </c>
      <c r="F486" t="s">
        <v>147</v>
      </c>
      <c r="G486">
        <v>7</v>
      </c>
      <c r="H486">
        <v>7.6</v>
      </c>
      <c r="I486">
        <v>5</v>
      </c>
      <c r="J486" t="s">
        <v>311</v>
      </c>
      <c r="K486" t="s">
        <v>146</v>
      </c>
    </row>
    <row r="487" spans="1:11" x14ac:dyDescent="0.25">
      <c r="A487">
        <v>279</v>
      </c>
      <c r="B487" t="s">
        <v>291</v>
      </c>
      <c r="C487" t="s">
        <v>292</v>
      </c>
      <c r="D487" t="s">
        <v>387</v>
      </c>
      <c r="E487" t="s">
        <v>25</v>
      </c>
      <c r="F487" t="s">
        <v>147</v>
      </c>
      <c r="G487">
        <v>3</v>
      </c>
      <c r="H487">
        <v>7.6</v>
      </c>
      <c r="I487">
        <v>1</v>
      </c>
      <c r="J487" t="s">
        <v>286</v>
      </c>
      <c r="K487" t="s">
        <v>146</v>
      </c>
    </row>
    <row r="488" spans="1:11" x14ac:dyDescent="0.25">
      <c r="A488">
        <v>293</v>
      </c>
      <c r="B488" t="s">
        <v>75</v>
      </c>
      <c r="C488" t="s">
        <v>77</v>
      </c>
      <c r="D488" t="s">
        <v>387</v>
      </c>
      <c r="E488" t="s">
        <v>25</v>
      </c>
      <c r="F488" t="s">
        <v>147</v>
      </c>
      <c r="G488">
        <v>7</v>
      </c>
      <c r="H488">
        <v>7.6</v>
      </c>
      <c r="I488">
        <v>5</v>
      </c>
      <c r="J488" t="s">
        <v>311</v>
      </c>
      <c r="K488" t="s">
        <v>146</v>
      </c>
    </row>
    <row r="489" spans="1:11" x14ac:dyDescent="0.25">
      <c r="A489">
        <v>323</v>
      </c>
      <c r="B489" t="s">
        <v>293</v>
      </c>
      <c r="C489" t="s">
        <v>294</v>
      </c>
      <c r="D489" t="s">
        <v>387</v>
      </c>
      <c r="E489" t="s">
        <v>25</v>
      </c>
      <c r="F489" t="s">
        <v>147</v>
      </c>
      <c r="G489">
        <v>6</v>
      </c>
      <c r="H489">
        <v>7.6</v>
      </c>
      <c r="I489">
        <v>4</v>
      </c>
      <c r="J489" t="s">
        <v>297</v>
      </c>
      <c r="K489" t="s">
        <v>146</v>
      </c>
    </row>
    <row r="490" spans="1:11" x14ac:dyDescent="0.25">
      <c r="A490">
        <v>340</v>
      </c>
      <c r="B490" t="s">
        <v>109</v>
      </c>
      <c r="C490" t="s">
        <v>110</v>
      </c>
      <c r="D490" t="s">
        <v>387</v>
      </c>
      <c r="E490" t="s">
        <v>25</v>
      </c>
      <c r="F490" t="s">
        <v>147</v>
      </c>
      <c r="G490">
        <v>7</v>
      </c>
      <c r="H490">
        <v>7.6</v>
      </c>
      <c r="I490">
        <v>5</v>
      </c>
      <c r="J490" t="s">
        <v>311</v>
      </c>
      <c r="K490" t="s">
        <v>146</v>
      </c>
    </row>
    <row r="491" spans="1:11" x14ac:dyDescent="0.25">
      <c r="A491">
        <v>372</v>
      </c>
      <c r="B491" t="s">
        <v>295</v>
      </c>
      <c r="C491" t="s">
        <v>296</v>
      </c>
      <c r="D491" t="s">
        <v>387</v>
      </c>
      <c r="E491" t="s">
        <v>25</v>
      </c>
      <c r="F491" t="s">
        <v>147</v>
      </c>
      <c r="G491">
        <v>4</v>
      </c>
      <c r="H491">
        <v>7.6</v>
      </c>
      <c r="I491">
        <v>3</v>
      </c>
      <c r="J491" t="s">
        <v>304</v>
      </c>
      <c r="K491" t="s">
        <v>146</v>
      </c>
    </row>
    <row r="492" spans="1:11" x14ac:dyDescent="0.25">
      <c r="A492">
        <v>389</v>
      </c>
      <c r="B492" t="s">
        <v>125</v>
      </c>
      <c r="C492" t="s">
        <v>126</v>
      </c>
      <c r="D492" t="s">
        <v>387</v>
      </c>
      <c r="E492" t="s">
        <v>25</v>
      </c>
      <c r="F492" t="s">
        <v>147</v>
      </c>
      <c r="G492">
        <v>5</v>
      </c>
      <c r="H492">
        <v>7.6</v>
      </c>
      <c r="I492">
        <v>3</v>
      </c>
      <c r="J492" t="s">
        <v>349</v>
      </c>
      <c r="K492" t="s">
        <v>146</v>
      </c>
    </row>
    <row r="493" spans="1:11" x14ac:dyDescent="0.25">
      <c r="A493">
        <v>420</v>
      </c>
      <c r="B493" t="s">
        <v>298</v>
      </c>
      <c r="C493" t="s">
        <v>299</v>
      </c>
      <c r="D493" t="s">
        <v>387</v>
      </c>
      <c r="E493" t="s">
        <v>25</v>
      </c>
      <c r="F493" t="s">
        <v>147</v>
      </c>
      <c r="G493">
        <v>6</v>
      </c>
      <c r="H493">
        <v>7.6</v>
      </c>
      <c r="I493">
        <v>5</v>
      </c>
      <c r="J493" t="s">
        <v>311</v>
      </c>
      <c r="K493" t="s">
        <v>146</v>
      </c>
    </row>
    <row r="494" spans="1:11" x14ac:dyDescent="0.25">
      <c r="A494">
        <v>437</v>
      </c>
      <c r="B494" t="s">
        <v>78</v>
      </c>
      <c r="C494" t="s">
        <v>79</v>
      </c>
      <c r="D494" t="s">
        <v>387</v>
      </c>
      <c r="E494" t="s">
        <v>25</v>
      </c>
      <c r="F494" t="s">
        <v>147</v>
      </c>
      <c r="G494">
        <v>5</v>
      </c>
      <c r="H494">
        <v>7.6</v>
      </c>
      <c r="I494">
        <v>3</v>
      </c>
      <c r="J494" t="s">
        <v>349</v>
      </c>
      <c r="K494" t="s">
        <v>146</v>
      </c>
    </row>
    <row r="495" spans="1:11" x14ac:dyDescent="0.25">
      <c r="A495">
        <v>467</v>
      </c>
      <c r="B495" t="s">
        <v>300</v>
      </c>
      <c r="C495" t="s">
        <v>301</v>
      </c>
      <c r="D495" t="s">
        <v>387</v>
      </c>
      <c r="E495" t="s">
        <v>25</v>
      </c>
      <c r="F495" t="s">
        <v>147</v>
      </c>
      <c r="G495">
        <v>4</v>
      </c>
      <c r="H495">
        <v>7.6</v>
      </c>
      <c r="I495">
        <v>3</v>
      </c>
      <c r="J495" t="s">
        <v>304</v>
      </c>
      <c r="K495" t="s">
        <v>146</v>
      </c>
    </row>
    <row r="496" spans="1:11" x14ac:dyDescent="0.25">
      <c r="A496">
        <v>487</v>
      </c>
      <c r="B496" t="s">
        <v>114</v>
      </c>
      <c r="C496" t="s">
        <v>116</v>
      </c>
      <c r="D496" t="s">
        <v>387</v>
      </c>
      <c r="E496" t="s">
        <v>25</v>
      </c>
      <c r="F496" t="s">
        <v>147</v>
      </c>
      <c r="G496">
        <v>7</v>
      </c>
      <c r="H496">
        <v>7.6</v>
      </c>
      <c r="I496">
        <v>4</v>
      </c>
      <c r="J496" t="s">
        <v>297</v>
      </c>
      <c r="K496" t="s">
        <v>146</v>
      </c>
    </row>
    <row r="497" spans="1:11" x14ac:dyDescent="0.25">
      <c r="A497">
        <v>515</v>
      </c>
      <c r="B497" t="s">
        <v>302</v>
      </c>
      <c r="C497" t="s">
        <v>303</v>
      </c>
      <c r="D497" t="s">
        <v>387</v>
      </c>
      <c r="E497" t="s">
        <v>25</v>
      </c>
      <c r="F497" t="s">
        <v>147</v>
      </c>
      <c r="G497">
        <v>4</v>
      </c>
      <c r="H497">
        <v>7.6</v>
      </c>
      <c r="I497">
        <v>2</v>
      </c>
      <c r="J497" t="s">
        <v>307</v>
      </c>
      <c r="K497" t="s">
        <v>146</v>
      </c>
    </row>
    <row r="498" spans="1:11" x14ac:dyDescent="0.25">
      <c r="A498">
        <v>541</v>
      </c>
      <c r="B498" t="s">
        <v>81</v>
      </c>
      <c r="C498" t="s">
        <v>83</v>
      </c>
      <c r="D498" t="s">
        <v>387</v>
      </c>
      <c r="E498" t="s">
        <v>25</v>
      </c>
      <c r="F498" t="s">
        <v>147</v>
      </c>
      <c r="G498">
        <v>5</v>
      </c>
      <c r="H498">
        <v>7.6</v>
      </c>
      <c r="I498">
        <v>3</v>
      </c>
      <c r="J498" t="s">
        <v>349</v>
      </c>
      <c r="K498" t="s">
        <v>146</v>
      </c>
    </row>
    <row r="499" spans="1:11" x14ac:dyDescent="0.25">
      <c r="A499">
        <v>572</v>
      </c>
      <c r="B499" t="s">
        <v>305</v>
      </c>
      <c r="C499" t="s">
        <v>306</v>
      </c>
      <c r="D499" t="s">
        <v>387</v>
      </c>
      <c r="E499" t="s">
        <v>25</v>
      </c>
      <c r="F499" t="s">
        <v>147</v>
      </c>
      <c r="G499">
        <v>4</v>
      </c>
      <c r="H499">
        <v>7.6</v>
      </c>
      <c r="I499">
        <v>2</v>
      </c>
      <c r="J499" t="s">
        <v>307</v>
      </c>
      <c r="K499" t="s">
        <v>146</v>
      </c>
    </row>
    <row r="500" spans="1:11" x14ac:dyDescent="0.25">
      <c r="A500">
        <v>597</v>
      </c>
      <c r="B500" t="s">
        <v>85</v>
      </c>
      <c r="C500" t="s">
        <v>87</v>
      </c>
      <c r="D500" t="s">
        <v>387</v>
      </c>
      <c r="E500" t="s">
        <v>25</v>
      </c>
      <c r="F500" t="s">
        <v>147</v>
      </c>
      <c r="G500">
        <v>5</v>
      </c>
      <c r="H500">
        <v>7.6</v>
      </c>
      <c r="I500">
        <v>3</v>
      </c>
      <c r="J500" t="s">
        <v>349</v>
      </c>
      <c r="K500" t="s">
        <v>146</v>
      </c>
    </row>
    <row r="501" spans="1:11" x14ac:dyDescent="0.25">
      <c r="A501">
        <v>21</v>
      </c>
      <c r="B501" t="s">
        <v>141</v>
      </c>
      <c r="C501" t="s">
        <v>142</v>
      </c>
      <c r="D501" t="s">
        <v>388</v>
      </c>
      <c r="E501" t="s">
        <v>26</v>
      </c>
      <c r="F501" t="s">
        <v>88</v>
      </c>
      <c r="G501">
        <v>4</v>
      </c>
      <c r="H501">
        <v>34</v>
      </c>
      <c r="I501">
        <v>4</v>
      </c>
      <c r="J501" t="s">
        <v>297</v>
      </c>
      <c r="K501" t="s">
        <v>36</v>
      </c>
    </row>
    <row r="502" spans="1:11" x14ac:dyDescent="0.25">
      <c r="A502">
        <v>36</v>
      </c>
      <c r="B502" t="s">
        <v>143</v>
      </c>
      <c r="C502" t="s">
        <v>144</v>
      </c>
      <c r="D502" t="s">
        <v>388</v>
      </c>
      <c r="E502" t="s">
        <v>26</v>
      </c>
      <c r="F502" t="s">
        <v>88</v>
      </c>
      <c r="G502">
        <v>2</v>
      </c>
      <c r="H502">
        <v>34</v>
      </c>
      <c r="I502">
        <v>2</v>
      </c>
      <c r="J502" t="s">
        <v>307</v>
      </c>
      <c r="K502" t="s">
        <v>36</v>
      </c>
    </row>
    <row r="503" spans="1:11" x14ac:dyDescent="0.25">
      <c r="A503">
        <v>72</v>
      </c>
      <c r="B503" t="s">
        <v>268</v>
      </c>
      <c r="C503" t="s">
        <v>269</v>
      </c>
      <c r="D503" t="s">
        <v>389</v>
      </c>
      <c r="E503" t="s">
        <v>131</v>
      </c>
      <c r="F503" t="s">
        <v>261</v>
      </c>
      <c r="G503">
        <v>6</v>
      </c>
      <c r="H503">
        <v>35</v>
      </c>
      <c r="I503">
        <v>5</v>
      </c>
      <c r="J503" t="s">
        <v>311</v>
      </c>
      <c r="K503" t="s">
        <v>36</v>
      </c>
    </row>
    <row r="504" spans="1:11" x14ac:dyDescent="0.25">
      <c r="A504">
        <v>88</v>
      </c>
      <c r="B504" t="s">
        <v>37</v>
      </c>
      <c r="C504" t="s">
        <v>39</v>
      </c>
      <c r="D504" t="s">
        <v>389</v>
      </c>
      <c r="E504" t="s">
        <v>131</v>
      </c>
      <c r="F504" t="s">
        <v>261</v>
      </c>
      <c r="G504">
        <v>6</v>
      </c>
      <c r="H504">
        <v>35</v>
      </c>
      <c r="I504">
        <v>4</v>
      </c>
      <c r="J504" t="s">
        <v>297</v>
      </c>
      <c r="K504" t="s">
        <v>36</v>
      </c>
    </row>
    <row r="505" spans="1:11" x14ac:dyDescent="0.25">
      <c r="A505">
        <v>104</v>
      </c>
      <c r="B505" t="s">
        <v>89</v>
      </c>
      <c r="C505" t="s">
        <v>90</v>
      </c>
      <c r="D505" t="s">
        <v>389</v>
      </c>
      <c r="E505" t="s">
        <v>131</v>
      </c>
      <c r="F505" t="s">
        <v>261</v>
      </c>
      <c r="G505">
        <v>4</v>
      </c>
      <c r="H505">
        <v>35</v>
      </c>
      <c r="I505">
        <v>3</v>
      </c>
      <c r="J505" t="s">
        <v>349</v>
      </c>
      <c r="K505" t="s">
        <v>36</v>
      </c>
    </row>
    <row r="506" spans="1:11" x14ac:dyDescent="0.25">
      <c r="A506">
        <v>121</v>
      </c>
      <c r="B506" t="s">
        <v>43</v>
      </c>
      <c r="C506" t="s">
        <v>45</v>
      </c>
      <c r="D506" t="s">
        <v>389</v>
      </c>
      <c r="E506" t="s">
        <v>131</v>
      </c>
      <c r="F506" t="s">
        <v>261</v>
      </c>
      <c r="G506">
        <v>6</v>
      </c>
      <c r="H506">
        <v>35</v>
      </c>
      <c r="I506">
        <v>5</v>
      </c>
      <c r="J506" t="s">
        <v>311</v>
      </c>
      <c r="K506" t="s">
        <v>36</v>
      </c>
    </row>
    <row r="507" spans="1:11" x14ac:dyDescent="0.25">
      <c r="A507">
        <v>137</v>
      </c>
      <c r="B507" t="s">
        <v>47</v>
      </c>
      <c r="C507" t="s">
        <v>49</v>
      </c>
      <c r="D507" t="s">
        <v>389</v>
      </c>
      <c r="E507" t="s">
        <v>131</v>
      </c>
      <c r="F507" t="s">
        <v>261</v>
      </c>
      <c r="G507">
        <v>6</v>
      </c>
      <c r="H507">
        <v>35</v>
      </c>
      <c r="I507">
        <v>4</v>
      </c>
      <c r="J507" t="s">
        <v>297</v>
      </c>
      <c r="K507" t="s">
        <v>36</v>
      </c>
    </row>
    <row r="508" spans="1:11" x14ac:dyDescent="0.25">
      <c r="A508">
        <v>151</v>
      </c>
      <c r="B508" t="s">
        <v>53</v>
      </c>
      <c r="C508" t="s">
        <v>55</v>
      </c>
      <c r="D508" t="s">
        <v>389</v>
      </c>
      <c r="E508" t="s">
        <v>131</v>
      </c>
      <c r="F508" t="s">
        <v>261</v>
      </c>
      <c r="G508">
        <v>7</v>
      </c>
      <c r="H508">
        <v>35</v>
      </c>
      <c r="I508">
        <v>5</v>
      </c>
      <c r="J508" t="s">
        <v>311</v>
      </c>
      <c r="K508" t="s">
        <v>36</v>
      </c>
    </row>
    <row r="509" spans="1:11" x14ac:dyDescent="0.25">
      <c r="A509">
        <v>169</v>
      </c>
      <c r="B509" t="s">
        <v>60</v>
      </c>
      <c r="C509" t="s">
        <v>61</v>
      </c>
      <c r="D509" t="s">
        <v>389</v>
      </c>
      <c r="E509" t="s">
        <v>131</v>
      </c>
      <c r="F509" t="s">
        <v>261</v>
      </c>
      <c r="G509">
        <v>6</v>
      </c>
      <c r="H509">
        <v>35</v>
      </c>
      <c r="I509">
        <v>1</v>
      </c>
      <c r="J509" t="s">
        <v>316</v>
      </c>
      <c r="K509" t="s">
        <v>36</v>
      </c>
    </row>
    <row r="510" spans="1:11" x14ac:dyDescent="0.25">
      <c r="A510">
        <v>192</v>
      </c>
      <c r="B510" t="s">
        <v>63</v>
      </c>
      <c r="C510" t="s">
        <v>65</v>
      </c>
      <c r="D510" t="s">
        <v>389</v>
      </c>
      <c r="E510" t="s">
        <v>131</v>
      </c>
      <c r="F510" t="s">
        <v>261</v>
      </c>
      <c r="G510">
        <v>7</v>
      </c>
      <c r="H510">
        <v>35</v>
      </c>
      <c r="I510">
        <v>5</v>
      </c>
      <c r="J510" t="s">
        <v>311</v>
      </c>
      <c r="K510" t="s">
        <v>36</v>
      </c>
    </row>
    <row r="511" spans="1:11" x14ac:dyDescent="0.25">
      <c r="A511">
        <v>217</v>
      </c>
      <c r="B511" t="s">
        <v>72</v>
      </c>
      <c r="C511" t="s">
        <v>73</v>
      </c>
      <c r="D511" t="s">
        <v>389</v>
      </c>
      <c r="E511" t="s">
        <v>131</v>
      </c>
      <c r="F511" t="s">
        <v>261</v>
      </c>
      <c r="G511">
        <v>7</v>
      </c>
      <c r="H511">
        <v>35</v>
      </c>
      <c r="I511">
        <v>5</v>
      </c>
      <c r="J511" t="s">
        <v>311</v>
      </c>
      <c r="K511" t="s">
        <v>36</v>
      </c>
    </row>
    <row r="512" spans="1:11" x14ac:dyDescent="0.25">
      <c r="A512">
        <v>240</v>
      </c>
      <c r="B512" t="s">
        <v>107</v>
      </c>
      <c r="C512" t="s">
        <v>108</v>
      </c>
      <c r="D512" t="s">
        <v>389</v>
      </c>
      <c r="E512" t="s">
        <v>131</v>
      </c>
      <c r="F512" t="s">
        <v>261</v>
      </c>
      <c r="G512">
        <v>7</v>
      </c>
      <c r="H512">
        <v>35</v>
      </c>
      <c r="I512">
        <v>5</v>
      </c>
      <c r="J512" t="s">
        <v>311</v>
      </c>
      <c r="K512" t="s">
        <v>36</v>
      </c>
    </row>
    <row r="513" spans="1:11" x14ac:dyDescent="0.25">
      <c r="A513">
        <v>246</v>
      </c>
      <c r="B513" t="s">
        <v>308</v>
      </c>
      <c r="C513" t="s">
        <v>309</v>
      </c>
      <c r="D513" t="s">
        <v>388</v>
      </c>
      <c r="E513" t="s">
        <v>26</v>
      </c>
      <c r="F513" t="s">
        <v>88</v>
      </c>
      <c r="G513">
        <v>6</v>
      </c>
      <c r="H513">
        <v>34</v>
      </c>
      <c r="I513">
        <v>4</v>
      </c>
      <c r="J513" t="s">
        <v>297</v>
      </c>
      <c r="K513" t="s">
        <v>36</v>
      </c>
    </row>
    <row r="514" spans="1:11" x14ac:dyDescent="0.25">
      <c r="A514">
        <v>261</v>
      </c>
      <c r="B514" t="s">
        <v>98</v>
      </c>
      <c r="C514" t="s">
        <v>100</v>
      </c>
      <c r="D514" t="s">
        <v>388</v>
      </c>
      <c r="E514" t="s">
        <v>26</v>
      </c>
      <c r="F514" t="s">
        <v>88</v>
      </c>
      <c r="G514">
        <v>5</v>
      </c>
      <c r="H514">
        <v>34</v>
      </c>
      <c r="I514">
        <v>3</v>
      </c>
      <c r="J514" t="s">
        <v>349</v>
      </c>
      <c r="K514" t="s">
        <v>36</v>
      </c>
    </row>
    <row r="515" spans="1:11" x14ac:dyDescent="0.25">
      <c r="A515">
        <v>284</v>
      </c>
      <c r="B515" t="s">
        <v>291</v>
      </c>
      <c r="C515" t="s">
        <v>292</v>
      </c>
      <c r="D515" t="s">
        <v>388</v>
      </c>
      <c r="E515" t="s">
        <v>26</v>
      </c>
      <c r="F515" t="s">
        <v>88</v>
      </c>
      <c r="G515">
        <v>6</v>
      </c>
      <c r="H515">
        <v>34</v>
      </c>
      <c r="I515">
        <v>5</v>
      </c>
      <c r="J515" t="s">
        <v>311</v>
      </c>
      <c r="K515" t="s">
        <v>36</v>
      </c>
    </row>
    <row r="516" spans="1:11" x14ac:dyDescent="0.25">
      <c r="A516">
        <v>302</v>
      </c>
      <c r="B516" t="s">
        <v>75</v>
      </c>
      <c r="C516" t="s">
        <v>77</v>
      </c>
      <c r="D516" t="s">
        <v>388</v>
      </c>
      <c r="E516" t="s">
        <v>26</v>
      </c>
      <c r="F516" t="s">
        <v>88</v>
      </c>
      <c r="G516">
        <v>5</v>
      </c>
      <c r="H516">
        <v>34</v>
      </c>
      <c r="I516">
        <v>3</v>
      </c>
      <c r="J516" t="s">
        <v>349</v>
      </c>
      <c r="K516" t="s">
        <v>36</v>
      </c>
    </row>
    <row r="517" spans="1:11" x14ac:dyDescent="0.25">
      <c r="A517">
        <v>327</v>
      </c>
      <c r="B517" t="s">
        <v>293</v>
      </c>
      <c r="C517" t="s">
        <v>294</v>
      </c>
      <c r="D517" t="s">
        <v>388</v>
      </c>
      <c r="E517" t="s">
        <v>26</v>
      </c>
      <c r="F517" t="s">
        <v>88</v>
      </c>
      <c r="G517">
        <v>4</v>
      </c>
      <c r="H517">
        <v>34</v>
      </c>
      <c r="I517">
        <v>3</v>
      </c>
      <c r="J517" t="s">
        <v>304</v>
      </c>
      <c r="K517" t="s">
        <v>36</v>
      </c>
    </row>
    <row r="518" spans="1:11" x14ac:dyDescent="0.25">
      <c r="A518">
        <v>349</v>
      </c>
      <c r="B518" t="s">
        <v>109</v>
      </c>
      <c r="C518" t="s">
        <v>110</v>
      </c>
      <c r="D518" t="s">
        <v>388</v>
      </c>
      <c r="E518" t="s">
        <v>26</v>
      </c>
      <c r="F518" t="s">
        <v>88</v>
      </c>
      <c r="G518">
        <v>7</v>
      </c>
      <c r="H518">
        <v>34</v>
      </c>
      <c r="I518">
        <v>5</v>
      </c>
      <c r="J518" t="s">
        <v>311</v>
      </c>
      <c r="K518" t="s">
        <v>36</v>
      </c>
    </row>
    <row r="519" spans="1:11" x14ac:dyDescent="0.25">
      <c r="A519">
        <v>376</v>
      </c>
      <c r="B519" t="s">
        <v>295</v>
      </c>
      <c r="C519" t="s">
        <v>296</v>
      </c>
      <c r="D519" t="s">
        <v>388</v>
      </c>
      <c r="E519" t="s">
        <v>26</v>
      </c>
      <c r="F519" t="s">
        <v>88</v>
      </c>
      <c r="G519">
        <v>6</v>
      </c>
      <c r="H519">
        <v>34</v>
      </c>
      <c r="I519">
        <v>5</v>
      </c>
      <c r="J519" t="s">
        <v>311</v>
      </c>
      <c r="K519" t="s">
        <v>36</v>
      </c>
    </row>
    <row r="520" spans="1:11" x14ac:dyDescent="0.25">
      <c r="A520">
        <v>396</v>
      </c>
      <c r="B520" t="s">
        <v>125</v>
      </c>
      <c r="C520" t="s">
        <v>126</v>
      </c>
      <c r="D520" t="s">
        <v>388</v>
      </c>
      <c r="E520" t="s">
        <v>26</v>
      </c>
      <c r="F520" t="s">
        <v>88</v>
      </c>
      <c r="G520">
        <v>7</v>
      </c>
      <c r="H520">
        <v>34</v>
      </c>
      <c r="I520">
        <v>4</v>
      </c>
      <c r="J520" t="s">
        <v>297</v>
      </c>
      <c r="K520" t="s">
        <v>36</v>
      </c>
    </row>
    <row r="521" spans="1:11" x14ac:dyDescent="0.25">
      <c r="A521">
        <v>425</v>
      </c>
      <c r="B521" t="s">
        <v>298</v>
      </c>
      <c r="C521" t="s">
        <v>299</v>
      </c>
      <c r="D521" t="s">
        <v>388</v>
      </c>
      <c r="E521" t="s">
        <v>26</v>
      </c>
      <c r="F521" t="s">
        <v>88</v>
      </c>
      <c r="G521">
        <v>6</v>
      </c>
      <c r="H521">
        <v>34</v>
      </c>
      <c r="I521">
        <v>5</v>
      </c>
      <c r="J521" t="s">
        <v>311</v>
      </c>
      <c r="K521" t="s">
        <v>36</v>
      </c>
    </row>
    <row r="522" spans="1:11" x14ac:dyDescent="0.25">
      <c r="A522">
        <v>443</v>
      </c>
      <c r="B522" t="s">
        <v>78</v>
      </c>
      <c r="C522" t="s">
        <v>79</v>
      </c>
      <c r="D522" t="s">
        <v>388</v>
      </c>
      <c r="E522" t="s">
        <v>26</v>
      </c>
      <c r="F522" t="s">
        <v>88</v>
      </c>
      <c r="G522">
        <v>7</v>
      </c>
      <c r="H522">
        <v>34</v>
      </c>
      <c r="I522">
        <v>4</v>
      </c>
      <c r="J522" t="s">
        <v>297</v>
      </c>
      <c r="K522" t="s">
        <v>36</v>
      </c>
    </row>
    <row r="523" spans="1:11" x14ac:dyDescent="0.25">
      <c r="A523">
        <v>473</v>
      </c>
      <c r="B523" t="s">
        <v>300</v>
      </c>
      <c r="C523" t="s">
        <v>301</v>
      </c>
      <c r="D523" t="s">
        <v>388</v>
      </c>
      <c r="E523" t="s">
        <v>26</v>
      </c>
      <c r="F523" t="s">
        <v>88</v>
      </c>
      <c r="G523">
        <v>4</v>
      </c>
      <c r="H523">
        <v>34</v>
      </c>
      <c r="I523">
        <v>3</v>
      </c>
      <c r="J523" t="s">
        <v>304</v>
      </c>
      <c r="K523" t="s">
        <v>36</v>
      </c>
    </row>
    <row r="524" spans="1:11" x14ac:dyDescent="0.25">
      <c r="A524">
        <v>496</v>
      </c>
      <c r="B524" t="s">
        <v>114</v>
      </c>
      <c r="C524" t="s">
        <v>116</v>
      </c>
      <c r="D524" t="s">
        <v>388</v>
      </c>
      <c r="E524" t="s">
        <v>26</v>
      </c>
      <c r="F524" t="s">
        <v>88</v>
      </c>
      <c r="G524">
        <v>7</v>
      </c>
      <c r="H524">
        <v>34</v>
      </c>
      <c r="I524">
        <v>5</v>
      </c>
      <c r="J524" t="s">
        <v>311</v>
      </c>
      <c r="K524" t="s">
        <v>36</v>
      </c>
    </row>
    <row r="525" spans="1:11" x14ac:dyDescent="0.25">
      <c r="A525">
        <v>524</v>
      </c>
      <c r="B525" t="s">
        <v>302</v>
      </c>
      <c r="C525" t="s">
        <v>303</v>
      </c>
      <c r="D525" t="s">
        <v>388</v>
      </c>
      <c r="E525" t="s">
        <v>26</v>
      </c>
      <c r="F525" t="s">
        <v>88</v>
      </c>
      <c r="G525">
        <v>7</v>
      </c>
      <c r="H525">
        <v>34</v>
      </c>
      <c r="I525">
        <v>4</v>
      </c>
      <c r="J525" t="s">
        <v>297</v>
      </c>
      <c r="K525" t="s">
        <v>36</v>
      </c>
    </row>
    <row r="526" spans="1:11" x14ac:dyDescent="0.25">
      <c r="A526">
        <v>549</v>
      </c>
      <c r="B526" t="s">
        <v>81</v>
      </c>
      <c r="C526" t="s">
        <v>83</v>
      </c>
      <c r="D526" t="s">
        <v>388</v>
      </c>
      <c r="E526" t="s">
        <v>26</v>
      </c>
      <c r="F526" t="s">
        <v>88</v>
      </c>
      <c r="G526">
        <v>3</v>
      </c>
      <c r="H526">
        <v>34</v>
      </c>
      <c r="I526">
        <v>1</v>
      </c>
      <c r="J526" t="s">
        <v>286</v>
      </c>
      <c r="K526" t="s">
        <v>36</v>
      </c>
    </row>
    <row r="527" spans="1:11" x14ac:dyDescent="0.25">
      <c r="A527">
        <v>579</v>
      </c>
      <c r="B527" t="s">
        <v>305</v>
      </c>
      <c r="C527" t="s">
        <v>306</v>
      </c>
      <c r="D527" t="s">
        <v>388</v>
      </c>
      <c r="E527" t="s">
        <v>26</v>
      </c>
      <c r="F527" t="s">
        <v>88</v>
      </c>
      <c r="G527">
        <v>5</v>
      </c>
      <c r="H527">
        <v>34</v>
      </c>
      <c r="I527">
        <v>3</v>
      </c>
      <c r="J527" t="s">
        <v>304</v>
      </c>
      <c r="K527" t="s">
        <v>36</v>
      </c>
    </row>
    <row r="528" spans="1:11" x14ac:dyDescent="0.25">
      <c r="A528">
        <v>606</v>
      </c>
      <c r="B528" t="s">
        <v>85</v>
      </c>
      <c r="C528" t="s">
        <v>87</v>
      </c>
      <c r="D528" t="s">
        <v>388</v>
      </c>
      <c r="E528" t="s">
        <v>26</v>
      </c>
      <c r="F528" t="s">
        <v>88</v>
      </c>
      <c r="G528">
        <v>3</v>
      </c>
      <c r="H528">
        <v>34</v>
      </c>
      <c r="I528">
        <v>1</v>
      </c>
      <c r="J528" t="s">
        <v>286</v>
      </c>
      <c r="K528" t="s">
        <v>36</v>
      </c>
    </row>
    <row r="529" spans="1:11" x14ac:dyDescent="0.25">
      <c r="A529">
        <v>48</v>
      </c>
      <c r="B529" t="s">
        <v>266</v>
      </c>
      <c r="C529" t="s">
        <v>267</v>
      </c>
      <c r="D529" t="s">
        <v>390</v>
      </c>
      <c r="E529" t="s">
        <v>93</v>
      </c>
      <c r="F529" t="s">
        <v>94</v>
      </c>
      <c r="G529">
        <v>3</v>
      </c>
      <c r="H529">
        <v>36</v>
      </c>
      <c r="I529">
        <v>1</v>
      </c>
      <c r="J529" t="s">
        <v>286</v>
      </c>
      <c r="K529" t="s">
        <v>36</v>
      </c>
    </row>
    <row r="530" spans="1:11" x14ac:dyDescent="0.25">
      <c r="A530">
        <v>62</v>
      </c>
      <c r="B530" t="s">
        <v>268</v>
      </c>
      <c r="C530" t="s">
        <v>269</v>
      </c>
      <c r="D530" t="s">
        <v>390</v>
      </c>
      <c r="E530" t="s">
        <v>93</v>
      </c>
      <c r="F530" t="s">
        <v>94</v>
      </c>
      <c r="G530">
        <v>3</v>
      </c>
      <c r="H530">
        <v>36</v>
      </c>
      <c r="I530">
        <v>3</v>
      </c>
      <c r="J530" t="s">
        <v>349</v>
      </c>
      <c r="K530" t="s">
        <v>36</v>
      </c>
    </row>
    <row r="531" spans="1:11" x14ac:dyDescent="0.25">
      <c r="A531">
        <v>78</v>
      </c>
      <c r="B531" t="s">
        <v>37</v>
      </c>
      <c r="C531" t="s">
        <v>39</v>
      </c>
      <c r="D531" t="s">
        <v>390</v>
      </c>
      <c r="E531" t="s">
        <v>93</v>
      </c>
      <c r="F531" t="s">
        <v>94</v>
      </c>
      <c r="G531">
        <v>4</v>
      </c>
      <c r="H531">
        <v>36</v>
      </c>
      <c r="I531">
        <v>1</v>
      </c>
      <c r="J531" t="s">
        <v>286</v>
      </c>
      <c r="K531" t="s">
        <v>36</v>
      </c>
    </row>
    <row r="532" spans="1:11" x14ac:dyDescent="0.25">
      <c r="A532">
        <v>96</v>
      </c>
      <c r="B532" t="s">
        <v>89</v>
      </c>
      <c r="C532" t="s">
        <v>90</v>
      </c>
      <c r="D532" t="s">
        <v>390</v>
      </c>
      <c r="E532" t="s">
        <v>93</v>
      </c>
      <c r="F532" t="s">
        <v>94</v>
      </c>
      <c r="G532">
        <v>4</v>
      </c>
      <c r="H532">
        <v>36</v>
      </c>
      <c r="I532">
        <v>3</v>
      </c>
      <c r="J532" t="s">
        <v>349</v>
      </c>
      <c r="K532" t="s">
        <v>36</v>
      </c>
    </row>
    <row r="533" spans="1:11" x14ac:dyDescent="0.25">
      <c r="A533">
        <v>110</v>
      </c>
      <c r="B533" t="s">
        <v>43</v>
      </c>
      <c r="C533" t="s">
        <v>45</v>
      </c>
      <c r="D533" t="s">
        <v>390</v>
      </c>
      <c r="E533" t="s">
        <v>93</v>
      </c>
      <c r="F533" t="s">
        <v>94</v>
      </c>
      <c r="G533">
        <v>6</v>
      </c>
      <c r="H533">
        <v>36</v>
      </c>
      <c r="I533">
        <v>5</v>
      </c>
      <c r="J533" t="s">
        <v>311</v>
      </c>
      <c r="K533" t="s">
        <v>36</v>
      </c>
    </row>
    <row r="534" spans="1:11" x14ac:dyDescent="0.25">
      <c r="A534">
        <v>127</v>
      </c>
      <c r="B534" t="s">
        <v>47</v>
      </c>
      <c r="C534" t="s">
        <v>49</v>
      </c>
      <c r="D534" t="s">
        <v>390</v>
      </c>
      <c r="E534" t="s">
        <v>93</v>
      </c>
      <c r="F534" t="s">
        <v>94</v>
      </c>
      <c r="G534">
        <v>4</v>
      </c>
      <c r="H534">
        <v>36</v>
      </c>
      <c r="I534">
        <v>3</v>
      </c>
      <c r="J534" t="s">
        <v>349</v>
      </c>
      <c r="K534" t="s">
        <v>36</v>
      </c>
    </row>
    <row r="535" spans="1:11" x14ac:dyDescent="0.25">
      <c r="A535">
        <v>179</v>
      </c>
      <c r="B535" t="s">
        <v>63</v>
      </c>
      <c r="C535" t="s">
        <v>65</v>
      </c>
      <c r="D535" t="s">
        <v>390</v>
      </c>
      <c r="E535" t="s">
        <v>93</v>
      </c>
      <c r="F535" t="s">
        <v>94</v>
      </c>
      <c r="G535">
        <v>5</v>
      </c>
      <c r="H535">
        <v>36</v>
      </c>
      <c r="I535">
        <v>1</v>
      </c>
      <c r="J535" t="s">
        <v>316</v>
      </c>
      <c r="K535" t="s">
        <v>36</v>
      </c>
    </row>
    <row r="536" spans="1:11" x14ac:dyDescent="0.25">
      <c r="A536">
        <v>201</v>
      </c>
      <c r="B536" t="s">
        <v>72</v>
      </c>
      <c r="C536" t="s">
        <v>73</v>
      </c>
      <c r="D536" t="s">
        <v>390</v>
      </c>
      <c r="E536" t="s">
        <v>93</v>
      </c>
      <c r="F536" t="s">
        <v>94</v>
      </c>
      <c r="G536">
        <v>5</v>
      </c>
      <c r="H536">
        <v>36</v>
      </c>
      <c r="I536">
        <v>3</v>
      </c>
      <c r="J536" t="s">
        <v>349</v>
      </c>
      <c r="K536" t="s">
        <v>36</v>
      </c>
    </row>
    <row r="537" spans="1:11" x14ac:dyDescent="0.25">
      <c r="A537">
        <v>227</v>
      </c>
      <c r="B537" t="s">
        <v>107</v>
      </c>
      <c r="C537" t="s">
        <v>108</v>
      </c>
      <c r="D537" t="s">
        <v>390</v>
      </c>
      <c r="E537" t="s">
        <v>93</v>
      </c>
      <c r="F537" t="s">
        <v>94</v>
      </c>
      <c r="G537">
        <v>7</v>
      </c>
      <c r="H537">
        <v>36</v>
      </c>
      <c r="I537">
        <v>4</v>
      </c>
      <c r="J537" t="s">
        <v>297</v>
      </c>
      <c r="K537" t="s">
        <v>36</v>
      </c>
    </row>
    <row r="538" spans="1:11" x14ac:dyDescent="0.25">
      <c r="A538">
        <v>283</v>
      </c>
      <c r="B538" t="s">
        <v>291</v>
      </c>
      <c r="C538" t="s">
        <v>292</v>
      </c>
      <c r="D538" t="s">
        <v>390</v>
      </c>
      <c r="E538" t="s">
        <v>93</v>
      </c>
      <c r="F538" t="s">
        <v>94</v>
      </c>
      <c r="G538">
        <v>4</v>
      </c>
      <c r="H538">
        <v>36</v>
      </c>
      <c r="I538">
        <v>3</v>
      </c>
      <c r="J538" t="s">
        <v>304</v>
      </c>
      <c r="K538" t="s">
        <v>36</v>
      </c>
    </row>
    <row r="539" spans="1:11" x14ac:dyDescent="0.25">
      <c r="A539">
        <v>300</v>
      </c>
      <c r="B539" t="s">
        <v>75</v>
      </c>
      <c r="C539" t="s">
        <v>77</v>
      </c>
      <c r="D539" t="s">
        <v>390</v>
      </c>
      <c r="E539" t="s">
        <v>93</v>
      </c>
      <c r="F539" t="s">
        <v>94</v>
      </c>
      <c r="G539">
        <v>4</v>
      </c>
      <c r="H539">
        <v>36</v>
      </c>
      <c r="I539">
        <v>2</v>
      </c>
      <c r="J539" t="s">
        <v>307</v>
      </c>
      <c r="K539" t="s">
        <v>36</v>
      </c>
    </row>
    <row r="540" spans="1:11" x14ac:dyDescent="0.25">
      <c r="A540">
        <v>347</v>
      </c>
      <c r="B540" t="s">
        <v>109</v>
      </c>
      <c r="C540" t="s">
        <v>110</v>
      </c>
      <c r="D540" t="s">
        <v>390</v>
      </c>
      <c r="E540" t="s">
        <v>93</v>
      </c>
      <c r="F540" t="s">
        <v>94</v>
      </c>
      <c r="G540">
        <v>5</v>
      </c>
      <c r="H540">
        <v>36</v>
      </c>
      <c r="I540">
        <v>3</v>
      </c>
      <c r="J540" t="s">
        <v>349</v>
      </c>
      <c r="K540" t="s">
        <v>36</v>
      </c>
    </row>
    <row r="541" spans="1:11" x14ac:dyDescent="0.25">
      <c r="A541">
        <v>394</v>
      </c>
      <c r="B541" t="s">
        <v>125</v>
      </c>
      <c r="C541" t="s">
        <v>126</v>
      </c>
      <c r="D541" t="s">
        <v>390</v>
      </c>
      <c r="E541" t="s">
        <v>93</v>
      </c>
      <c r="F541" t="s">
        <v>94</v>
      </c>
      <c r="G541">
        <v>5</v>
      </c>
      <c r="H541">
        <v>36</v>
      </c>
      <c r="I541">
        <v>3</v>
      </c>
      <c r="J541" t="s">
        <v>349</v>
      </c>
      <c r="K541" t="s">
        <v>36</v>
      </c>
    </row>
    <row r="542" spans="1:11" x14ac:dyDescent="0.25">
      <c r="A542">
        <v>424</v>
      </c>
      <c r="B542" t="s">
        <v>298</v>
      </c>
      <c r="C542" t="s">
        <v>299</v>
      </c>
      <c r="D542" t="s">
        <v>390</v>
      </c>
      <c r="E542" t="s">
        <v>93</v>
      </c>
      <c r="F542" t="s">
        <v>94</v>
      </c>
      <c r="G542">
        <v>4</v>
      </c>
      <c r="H542">
        <v>36</v>
      </c>
      <c r="I542">
        <v>3</v>
      </c>
      <c r="J542" t="s">
        <v>304</v>
      </c>
      <c r="K542" t="s">
        <v>36</v>
      </c>
    </row>
    <row r="543" spans="1:11" x14ac:dyDescent="0.25">
      <c r="A543">
        <v>441</v>
      </c>
      <c r="B543" t="s">
        <v>78</v>
      </c>
      <c r="C543" t="s">
        <v>79</v>
      </c>
      <c r="D543" t="s">
        <v>390</v>
      </c>
      <c r="E543" t="s">
        <v>93</v>
      </c>
      <c r="F543" t="s">
        <v>94</v>
      </c>
      <c r="G543">
        <v>4</v>
      </c>
      <c r="H543">
        <v>36</v>
      </c>
      <c r="I543">
        <v>2</v>
      </c>
      <c r="J543" t="s">
        <v>307</v>
      </c>
      <c r="K543" t="s">
        <v>36</v>
      </c>
    </row>
    <row r="544" spans="1:11" x14ac:dyDescent="0.25">
      <c r="A544">
        <v>470</v>
      </c>
      <c r="B544" t="s">
        <v>300</v>
      </c>
      <c r="C544" t="s">
        <v>301</v>
      </c>
      <c r="D544" t="s">
        <v>390</v>
      </c>
      <c r="E544" t="s">
        <v>93</v>
      </c>
      <c r="F544" t="s">
        <v>94</v>
      </c>
      <c r="G544">
        <v>4</v>
      </c>
      <c r="H544">
        <v>36</v>
      </c>
      <c r="I544">
        <v>3</v>
      </c>
      <c r="J544" t="s">
        <v>304</v>
      </c>
      <c r="K544" t="s">
        <v>36</v>
      </c>
    </row>
    <row r="545" spans="1:11" x14ac:dyDescent="0.25">
      <c r="A545">
        <v>494</v>
      </c>
      <c r="B545" t="s">
        <v>114</v>
      </c>
      <c r="C545" t="s">
        <v>116</v>
      </c>
      <c r="D545" t="s">
        <v>390</v>
      </c>
      <c r="E545" t="s">
        <v>93</v>
      </c>
      <c r="F545" t="s">
        <v>94</v>
      </c>
      <c r="G545">
        <v>3</v>
      </c>
      <c r="H545">
        <v>36</v>
      </c>
      <c r="I545">
        <v>1</v>
      </c>
      <c r="J545" t="s">
        <v>286</v>
      </c>
      <c r="K545" t="s">
        <v>36</v>
      </c>
    </row>
    <row r="546" spans="1:11" x14ac:dyDescent="0.25">
      <c r="A546">
        <v>522</v>
      </c>
      <c r="B546" t="s">
        <v>302</v>
      </c>
      <c r="C546" t="s">
        <v>303</v>
      </c>
      <c r="D546" t="s">
        <v>390</v>
      </c>
      <c r="E546" t="s">
        <v>93</v>
      </c>
      <c r="F546" t="s">
        <v>94</v>
      </c>
      <c r="G546">
        <v>7</v>
      </c>
      <c r="H546">
        <v>36</v>
      </c>
      <c r="I546">
        <v>4</v>
      </c>
      <c r="J546" t="s">
        <v>297</v>
      </c>
      <c r="K546" t="s">
        <v>36</v>
      </c>
    </row>
    <row r="547" spans="1:11" x14ac:dyDescent="0.25">
      <c r="A547">
        <v>547</v>
      </c>
      <c r="B547" t="s">
        <v>81</v>
      </c>
      <c r="C547" t="s">
        <v>83</v>
      </c>
      <c r="D547" t="s">
        <v>390</v>
      </c>
      <c r="E547" t="s">
        <v>93</v>
      </c>
      <c r="F547" t="s">
        <v>94</v>
      </c>
      <c r="G547">
        <v>7</v>
      </c>
      <c r="H547">
        <v>36</v>
      </c>
      <c r="I547">
        <v>4</v>
      </c>
      <c r="J547" t="s">
        <v>297</v>
      </c>
      <c r="K547" t="s">
        <v>36</v>
      </c>
    </row>
    <row r="548" spans="1:11" x14ac:dyDescent="0.25">
      <c r="A548">
        <v>577</v>
      </c>
      <c r="B548" t="s">
        <v>305</v>
      </c>
      <c r="C548" t="s">
        <v>306</v>
      </c>
      <c r="D548" t="s">
        <v>390</v>
      </c>
      <c r="E548" t="s">
        <v>93</v>
      </c>
      <c r="F548" t="s">
        <v>94</v>
      </c>
      <c r="G548">
        <v>7</v>
      </c>
      <c r="H548">
        <v>36</v>
      </c>
      <c r="I548">
        <v>4</v>
      </c>
      <c r="J548" t="s">
        <v>297</v>
      </c>
      <c r="K548" t="s">
        <v>36</v>
      </c>
    </row>
    <row r="549" spans="1:11" x14ac:dyDescent="0.25">
      <c r="A549">
        <v>604</v>
      </c>
      <c r="B549" t="s">
        <v>85</v>
      </c>
      <c r="C549" t="s">
        <v>87</v>
      </c>
      <c r="D549" t="s">
        <v>390</v>
      </c>
      <c r="E549" t="s">
        <v>93</v>
      </c>
      <c r="F549" t="s">
        <v>94</v>
      </c>
      <c r="G549">
        <v>5</v>
      </c>
      <c r="H549">
        <v>36</v>
      </c>
      <c r="I549">
        <v>3</v>
      </c>
      <c r="J549" t="s">
        <v>349</v>
      </c>
      <c r="K549" t="s">
        <v>36</v>
      </c>
    </row>
    <row r="550" spans="1:11" x14ac:dyDescent="0.25">
      <c r="A550">
        <v>26</v>
      </c>
      <c r="B550" t="s">
        <v>141</v>
      </c>
      <c r="C550" t="s">
        <v>142</v>
      </c>
      <c r="D550" t="s">
        <v>391</v>
      </c>
      <c r="E550" t="s">
        <v>62</v>
      </c>
      <c r="F550" t="s">
        <v>64</v>
      </c>
      <c r="G550">
        <v>3</v>
      </c>
      <c r="H550">
        <v>37</v>
      </c>
      <c r="I550">
        <v>3</v>
      </c>
      <c r="J550" t="s">
        <v>349</v>
      </c>
      <c r="K550" t="s">
        <v>36</v>
      </c>
    </row>
    <row r="551" spans="1:11" x14ac:dyDescent="0.25">
      <c r="A551">
        <v>52</v>
      </c>
      <c r="B551" t="s">
        <v>266</v>
      </c>
      <c r="C551" t="s">
        <v>267</v>
      </c>
      <c r="D551" t="s">
        <v>391</v>
      </c>
      <c r="E551" t="s">
        <v>62</v>
      </c>
      <c r="F551" t="s">
        <v>64</v>
      </c>
      <c r="G551">
        <v>6</v>
      </c>
      <c r="H551">
        <v>37</v>
      </c>
      <c r="I551">
        <v>5</v>
      </c>
      <c r="J551" t="s">
        <v>385</v>
      </c>
      <c r="K551" t="s">
        <v>36</v>
      </c>
    </row>
    <row r="552" spans="1:11" x14ac:dyDescent="0.25">
      <c r="A552">
        <v>101</v>
      </c>
      <c r="B552" t="s">
        <v>89</v>
      </c>
      <c r="C552" t="s">
        <v>90</v>
      </c>
      <c r="D552" t="s">
        <v>391</v>
      </c>
      <c r="E552" t="s">
        <v>62</v>
      </c>
      <c r="F552" t="s">
        <v>64</v>
      </c>
      <c r="G552">
        <v>3</v>
      </c>
      <c r="H552">
        <v>37</v>
      </c>
      <c r="I552">
        <v>1</v>
      </c>
      <c r="J552" t="s">
        <v>286</v>
      </c>
      <c r="K552" t="s">
        <v>36</v>
      </c>
    </row>
    <row r="553" spans="1:11" x14ac:dyDescent="0.25">
      <c r="A553">
        <v>118</v>
      </c>
      <c r="B553" t="s">
        <v>43</v>
      </c>
      <c r="C553" t="s">
        <v>45</v>
      </c>
      <c r="D553" t="s">
        <v>391</v>
      </c>
      <c r="E553" t="s">
        <v>62</v>
      </c>
      <c r="F553" t="s">
        <v>64</v>
      </c>
      <c r="G553">
        <v>3</v>
      </c>
      <c r="H553">
        <v>37</v>
      </c>
      <c r="I553">
        <v>1</v>
      </c>
      <c r="J553" t="s">
        <v>286</v>
      </c>
      <c r="K553" t="s">
        <v>36</v>
      </c>
    </row>
    <row r="554" spans="1:11" x14ac:dyDescent="0.25">
      <c r="A554">
        <v>166</v>
      </c>
      <c r="B554" t="s">
        <v>60</v>
      </c>
      <c r="C554" t="s">
        <v>61</v>
      </c>
      <c r="D554" t="s">
        <v>391</v>
      </c>
      <c r="E554" t="s">
        <v>62</v>
      </c>
      <c r="F554" t="s">
        <v>64</v>
      </c>
      <c r="G554">
        <v>3</v>
      </c>
      <c r="H554">
        <v>37</v>
      </c>
      <c r="I554">
        <v>1</v>
      </c>
      <c r="J554" t="s">
        <v>286</v>
      </c>
      <c r="K554" t="s">
        <v>36</v>
      </c>
    </row>
    <row r="555" spans="1:11" x14ac:dyDescent="0.25">
      <c r="A555">
        <v>191</v>
      </c>
      <c r="B555" t="s">
        <v>63</v>
      </c>
      <c r="C555" t="s">
        <v>65</v>
      </c>
      <c r="D555" t="s">
        <v>391</v>
      </c>
      <c r="E555" t="s">
        <v>62</v>
      </c>
      <c r="F555" t="s">
        <v>64</v>
      </c>
      <c r="G555">
        <v>5</v>
      </c>
      <c r="H555">
        <v>37</v>
      </c>
      <c r="I555">
        <v>1</v>
      </c>
      <c r="J555" t="s">
        <v>316</v>
      </c>
      <c r="K555" t="s">
        <v>36</v>
      </c>
    </row>
    <row r="556" spans="1:11" x14ac:dyDescent="0.25">
      <c r="A556">
        <v>215</v>
      </c>
      <c r="B556" t="s">
        <v>72</v>
      </c>
      <c r="C556" t="s">
        <v>73</v>
      </c>
      <c r="D556" t="s">
        <v>391</v>
      </c>
      <c r="E556" t="s">
        <v>62</v>
      </c>
      <c r="F556" t="s">
        <v>64</v>
      </c>
      <c r="G556">
        <v>5</v>
      </c>
      <c r="H556">
        <v>37</v>
      </c>
      <c r="I556">
        <v>3</v>
      </c>
      <c r="J556" t="s">
        <v>349</v>
      </c>
      <c r="K556" t="s">
        <v>36</v>
      </c>
    </row>
    <row r="557" spans="1:11" x14ac:dyDescent="0.25">
      <c r="A557">
        <v>235</v>
      </c>
      <c r="B557" t="s">
        <v>107</v>
      </c>
      <c r="C557" t="s">
        <v>108</v>
      </c>
      <c r="D557" t="s">
        <v>391</v>
      </c>
      <c r="E557" t="s">
        <v>62</v>
      </c>
      <c r="F557" t="s">
        <v>64</v>
      </c>
      <c r="G557">
        <v>4</v>
      </c>
      <c r="H557">
        <v>37</v>
      </c>
      <c r="I557">
        <v>2</v>
      </c>
      <c r="J557" t="s">
        <v>307</v>
      </c>
      <c r="K557" t="s">
        <v>36</v>
      </c>
    </row>
    <row r="558" spans="1:11" x14ac:dyDescent="0.25">
      <c r="A558">
        <v>274</v>
      </c>
      <c r="B558" t="s">
        <v>98</v>
      </c>
      <c r="C558" t="s">
        <v>100</v>
      </c>
      <c r="D558" t="s">
        <v>391</v>
      </c>
      <c r="E558" t="s">
        <v>62</v>
      </c>
      <c r="F558" t="s">
        <v>64</v>
      </c>
      <c r="G558">
        <v>5</v>
      </c>
      <c r="H558">
        <v>37</v>
      </c>
      <c r="I558">
        <v>3</v>
      </c>
      <c r="J558" t="s">
        <v>349</v>
      </c>
      <c r="K558" t="s">
        <v>36</v>
      </c>
    </row>
    <row r="559" spans="1:11" x14ac:dyDescent="0.25">
      <c r="A559">
        <v>318</v>
      </c>
      <c r="B559" t="s">
        <v>75</v>
      </c>
      <c r="C559" t="s">
        <v>77</v>
      </c>
      <c r="D559" t="s">
        <v>391</v>
      </c>
      <c r="E559" t="s">
        <v>62</v>
      </c>
      <c r="F559" t="s">
        <v>64</v>
      </c>
      <c r="G559">
        <v>3</v>
      </c>
      <c r="H559">
        <v>37</v>
      </c>
      <c r="I559">
        <v>1</v>
      </c>
      <c r="J559" t="s">
        <v>286</v>
      </c>
      <c r="K559" t="s">
        <v>36</v>
      </c>
    </row>
    <row r="560" spans="1:11" x14ac:dyDescent="0.25">
      <c r="A560">
        <v>364</v>
      </c>
      <c r="B560" t="s">
        <v>109</v>
      </c>
      <c r="C560" t="s">
        <v>110</v>
      </c>
      <c r="D560" t="s">
        <v>391</v>
      </c>
      <c r="E560" t="s">
        <v>62</v>
      </c>
      <c r="F560" t="s">
        <v>64</v>
      </c>
      <c r="G560">
        <v>5</v>
      </c>
      <c r="H560">
        <v>37</v>
      </c>
      <c r="I560">
        <v>3</v>
      </c>
      <c r="J560" t="s">
        <v>349</v>
      </c>
      <c r="K560" t="s">
        <v>36</v>
      </c>
    </row>
    <row r="561" spans="1:11" x14ac:dyDescent="0.25">
      <c r="A561">
        <v>410</v>
      </c>
      <c r="B561" t="s">
        <v>125</v>
      </c>
      <c r="C561" t="s">
        <v>126</v>
      </c>
      <c r="D561" t="s">
        <v>391</v>
      </c>
      <c r="E561" t="s">
        <v>62</v>
      </c>
      <c r="F561" t="s">
        <v>64</v>
      </c>
      <c r="G561">
        <v>4</v>
      </c>
      <c r="H561">
        <v>37</v>
      </c>
      <c r="I561">
        <v>2</v>
      </c>
      <c r="J561" t="s">
        <v>307</v>
      </c>
      <c r="K561" t="s">
        <v>36</v>
      </c>
    </row>
    <row r="562" spans="1:11" x14ac:dyDescent="0.25">
      <c r="A562">
        <v>462</v>
      </c>
      <c r="B562" t="s">
        <v>78</v>
      </c>
      <c r="C562" t="s">
        <v>79</v>
      </c>
      <c r="D562" t="s">
        <v>391</v>
      </c>
      <c r="E562" t="s">
        <v>62</v>
      </c>
      <c r="F562" t="s">
        <v>64</v>
      </c>
      <c r="G562">
        <v>7</v>
      </c>
      <c r="H562">
        <v>37</v>
      </c>
      <c r="I562">
        <v>5</v>
      </c>
      <c r="J562" t="s">
        <v>311</v>
      </c>
      <c r="K562" t="s">
        <v>36</v>
      </c>
    </row>
    <row r="563" spans="1:11" x14ac:dyDescent="0.25">
      <c r="A563">
        <v>510</v>
      </c>
      <c r="B563" t="s">
        <v>114</v>
      </c>
      <c r="C563" t="s">
        <v>116</v>
      </c>
      <c r="D563" t="s">
        <v>391</v>
      </c>
      <c r="E563" t="s">
        <v>62</v>
      </c>
      <c r="F563" t="s">
        <v>64</v>
      </c>
      <c r="G563">
        <v>3</v>
      </c>
      <c r="H563">
        <v>37</v>
      </c>
      <c r="I563">
        <v>1</v>
      </c>
      <c r="J563" t="s">
        <v>286</v>
      </c>
      <c r="K563" t="s">
        <v>36</v>
      </c>
    </row>
    <row r="564" spans="1:11" x14ac:dyDescent="0.25">
      <c r="A564">
        <v>533</v>
      </c>
      <c r="B564" t="s">
        <v>302</v>
      </c>
      <c r="C564" t="s">
        <v>303</v>
      </c>
      <c r="D564" t="s">
        <v>391</v>
      </c>
      <c r="E564" t="s">
        <v>62</v>
      </c>
      <c r="F564" t="s">
        <v>64</v>
      </c>
      <c r="G564">
        <v>3</v>
      </c>
      <c r="H564">
        <v>37</v>
      </c>
      <c r="I564">
        <v>1</v>
      </c>
      <c r="J564" t="s">
        <v>286</v>
      </c>
      <c r="K564" t="s">
        <v>36</v>
      </c>
    </row>
    <row r="565" spans="1:11" x14ac:dyDescent="0.25">
      <c r="A565">
        <v>565</v>
      </c>
      <c r="B565" t="s">
        <v>81</v>
      </c>
      <c r="C565" t="s">
        <v>83</v>
      </c>
      <c r="D565" t="s">
        <v>391</v>
      </c>
      <c r="E565" t="s">
        <v>62</v>
      </c>
      <c r="F565" t="s">
        <v>64</v>
      </c>
      <c r="G565">
        <v>4</v>
      </c>
      <c r="H565">
        <v>37</v>
      </c>
      <c r="I565">
        <v>2</v>
      </c>
      <c r="J565" t="s">
        <v>307</v>
      </c>
      <c r="K565" t="s">
        <v>36</v>
      </c>
    </row>
    <row r="566" spans="1:11" x14ac:dyDescent="0.25">
      <c r="A566">
        <v>590</v>
      </c>
      <c r="B566" t="s">
        <v>305</v>
      </c>
      <c r="C566" t="s">
        <v>306</v>
      </c>
      <c r="D566" t="s">
        <v>391</v>
      </c>
      <c r="E566" t="s">
        <v>62</v>
      </c>
      <c r="F566" t="s">
        <v>64</v>
      </c>
      <c r="G566">
        <v>4</v>
      </c>
      <c r="H566">
        <v>37</v>
      </c>
      <c r="I566">
        <v>2</v>
      </c>
      <c r="J566" t="s">
        <v>307</v>
      </c>
      <c r="K566" t="s">
        <v>36</v>
      </c>
    </row>
    <row r="567" spans="1:11" x14ac:dyDescent="0.25">
      <c r="A567">
        <v>620</v>
      </c>
      <c r="B567" t="s">
        <v>85</v>
      </c>
      <c r="C567" t="s">
        <v>87</v>
      </c>
      <c r="D567" t="s">
        <v>391</v>
      </c>
      <c r="E567" t="s">
        <v>62</v>
      </c>
      <c r="F567" t="s">
        <v>64</v>
      </c>
      <c r="G567">
        <v>4</v>
      </c>
      <c r="H567">
        <v>37</v>
      </c>
      <c r="I567">
        <v>2</v>
      </c>
      <c r="J567" t="s">
        <v>307</v>
      </c>
      <c r="K567" t="s">
        <v>36</v>
      </c>
    </row>
    <row r="568" spans="1:11" x14ac:dyDescent="0.25">
      <c r="A568">
        <v>6</v>
      </c>
      <c r="B568" t="s">
        <v>119</v>
      </c>
      <c r="C568" t="s">
        <v>120</v>
      </c>
      <c r="D568" t="s">
        <v>392</v>
      </c>
      <c r="E568" t="s">
        <v>42</v>
      </c>
      <c r="F568" t="s">
        <v>44</v>
      </c>
      <c r="G568">
        <v>3</v>
      </c>
      <c r="H568">
        <v>38</v>
      </c>
      <c r="I568">
        <v>1</v>
      </c>
      <c r="J568" t="s">
        <v>286</v>
      </c>
      <c r="K568" t="s">
        <v>36</v>
      </c>
    </row>
    <row r="569" spans="1:11" x14ac:dyDescent="0.25">
      <c r="A569">
        <v>20</v>
      </c>
      <c r="B569" t="s">
        <v>141</v>
      </c>
      <c r="C569" t="s">
        <v>142</v>
      </c>
      <c r="D569" t="s">
        <v>392</v>
      </c>
      <c r="E569" t="s">
        <v>42</v>
      </c>
      <c r="F569" t="s">
        <v>44</v>
      </c>
      <c r="G569">
        <v>1</v>
      </c>
      <c r="H569">
        <v>38</v>
      </c>
      <c r="I569">
        <v>2</v>
      </c>
      <c r="J569" t="s">
        <v>307</v>
      </c>
      <c r="K569" t="s">
        <v>36</v>
      </c>
    </row>
    <row r="570" spans="1:11" x14ac:dyDescent="0.25">
      <c r="A570">
        <v>35</v>
      </c>
      <c r="B570" t="s">
        <v>143</v>
      </c>
      <c r="C570" t="s">
        <v>144</v>
      </c>
      <c r="D570" t="s">
        <v>392</v>
      </c>
      <c r="E570" t="s">
        <v>42</v>
      </c>
      <c r="F570" t="s">
        <v>44</v>
      </c>
      <c r="G570">
        <v>2</v>
      </c>
      <c r="H570">
        <v>38</v>
      </c>
      <c r="I570">
        <v>3</v>
      </c>
      <c r="J570" t="s">
        <v>349</v>
      </c>
      <c r="K570" t="s">
        <v>36</v>
      </c>
    </row>
    <row r="571" spans="1:11" x14ac:dyDescent="0.25">
      <c r="A571">
        <v>63</v>
      </c>
      <c r="B571" t="s">
        <v>268</v>
      </c>
      <c r="C571" t="s">
        <v>269</v>
      </c>
      <c r="D571" t="s">
        <v>392</v>
      </c>
      <c r="E571" t="s">
        <v>42</v>
      </c>
      <c r="F571" t="s">
        <v>44</v>
      </c>
      <c r="G571">
        <v>2</v>
      </c>
      <c r="H571">
        <v>38</v>
      </c>
      <c r="I571">
        <v>1</v>
      </c>
      <c r="J571" t="s">
        <v>286</v>
      </c>
      <c r="K571" t="s">
        <v>36</v>
      </c>
    </row>
    <row r="572" spans="1:11" x14ac:dyDescent="0.25">
      <c r="A572">
        <v>79</v>
      </c>
      <c r="B572" t="s">
        <v>37</v>
      </c>
      <c r="C572" t="s">
        <v>39</v>
      </c>
      <c r="D572" t="s">
        <v>392</v>
      </c>
      <c r="E572" t="s">
        <v>42</v>
      </c>
      <c r="F572" t="s">
        <v>44</v>
      </c>
      <c r="G572">
        <v>6</v>
      </c>
      <c r="H572">
        <v>38</v>
      </c>
      <c r="I572">
        <v>4</v>
      </c>
      <c r="J572" t="s">
        <v>297</v>
      </c>
      <c r="K572" t="s">
        <v>36</v>
      </c>
    </row>
    <row r="573" spans="1:11" x14ac:dyDescent="0.25">
      <c r="A573">
        <v>111</v>
      </c>
      <c r="B573" t="s">
        <v>43</v>
      </c>
      <c r="C573" t="s">
        <v>45</v>
      </c>
      <c r="D573" t="s">
        <v>392</v>
      </c>
      <c r="E573" t="s">
        <v>42</v>
      </c>
      <c r="F573" t="s">
        <v>44</v>
      </c>
      <c r="G573">
        <v>3</v>
      </c>
      <c r="H573">
        <v>38</v>
      </c>
      <c r="I573">
        <v>1</v>
      </c>
      <c r="J573" t="s">
        <v>286</v>
      </c>
      <c r="K573" t="s">
        <v>36</v>
      </c>
    </row>
    <row r="574" spans="1:11" x14ac:dyDescent="0.25">
      <c r="A574">
        <v>157</v>
      </c>
      <c r="B574" t="s">
        <v>60</v>
      </c>
      <c r="C574" t="s">
        <v>61</v>
      </c>
      <c r="D574" t="s">
        <v>392</v>
      </c>
      <c r="E574" t="s">
        <v>42</v>
      </c>
      <c r="F574" t="s">
        <v>44</v>
      </c>
      <c r="G574">
        <v>3</v>
      </c>
      <c r="H574">
        <v>38</v>
      </c>
      <c r="I574">
        <v>1</v>
      </c>
      <c r="J574" t="s">
        <v>286</v>
      </c>
      <c r="K574" t="s">
        <v>36</v>
      </c>
    </row>
    <row r="575" spans="1:11" x14ac:dyDescent="0.25">
      <c r="A575">
        <v>180</v>
      </c>
      <c r="B575" t="s">
        <v>63</v>
      </c>
      <c r="C575" t="s">
        <v>65</v>
      </c>
      <c r="D575" t="s">
        <v>392</v>
      </c>
      <c r="E575" t="s">
        <v>42</v>
      </c>
      <c r="F575" t="s">
        <v>44</v>
      </c>
      <c r="G575">
        <v>7</v>
      </c>
      <c r="H575">
        <v>38</v>
      </c>
      <c r="I575">
        <v>4</v>
      </c>
      <c r="J575" t="s">
        <v>297</v>
      </c>
      <c r="K575" t="s">
        <v>36</v>
      </c>
    </row>
    <row r="576" spans="1:11" x14ac:dyDescent="0.25">
      <c r="A576">
        <v>202</v>
      </c>
      <c r="B576" t="s">
        <v>72</v>
      </c>
      <c r="C576" t="s">
        <v>73</v>
      </c>
      <c r="D576" t="s">
        <v>392</v>
      </c>
      <c r="E576" t="s">
        <v>42</v>
      </c>
      <c r="F576" t="s">
        <v>44</v>
      </c>
      <c r="G576">
        <v>7</v>
      </c>
      <c r="H576">
        <v>38</v>
      </c>
      <c r="I576">
        <v>4</v>
      </c>
      <c r="J576" t="s">
        <v>297</v>
      </c>
      <c r="K576" t="s">
        <v>36</v>
      </c>
    </row>
    <row r="577" spans="1:11" x14ac:dyDescent="0.25">
      <c r="A577">
        <v>301</v>
      </c>
      <c r="B577" t="s">
        <v>75</v>
      </c>
      <c r="C577" t="s">
        <v>77</v>
      </c>
      <c r="D577" t="s">
        <v>392</v>
      </c>
      <c r="E577" t="s">
        <v>42</v>
      </c>
      <c r="F577" t="s">
        <v>44</v>
      </c>
      <c r="G577">
        <v>7</v>
      </c>
      <c r="H577">
        <v>38</v>
      </c>
      <c r="I577">
        <v>5</v>
      </c>
      <c r="J577" t="s">
        <v>311</v>
      </c>
      <c r="K577" t="s">
        <v>36</v>
      </c>
    </row>
    <row r="578" spans="1:11" x14ac:dyDescent="0.25">
      <c r="A578">
        <v>348</v>
      </c>
      <c r="B578" t="s">
        <v>109</v>
      </c>
      <c r="C578" t="s">
        <v>110</v>
      </c>
      <c r="D578" t="s">
        <v>392</v>
      </c>
      <c r="E578" t="s">
        <v>42</v>
      </c>
      <c r="F578" t="s">
        <v>44</v>
      </c>
      <c r="G578">
        <v>3</v>
      </c>
      <c r="H578">
        <v>38</v>
      </c>
      <c r="I578">
        <v>1</v>
      </c>
      <c r="J578" t="s">
        <v>286</v>
      </c>
      <c r="K578" t="s">
        <v>36</v>
      </c>
    </row>
    <row r="579" spans="1:11" x14ac:dyDescent="0.25">
      <c r="A579">
        <v>375</v>
      </c>
      <c r="B579" t="s">
        <v>295</v>
      </c>
      <c r="C579" t="s">
        <v>296</v>
      </c>
      <c r="D579" t="s">
        <v>392</v>
      </c>
      <c r="E579" t="s">
        <v>42</v>
      </c>
      <c r="F579" t="s">
        <v>44</v>
      </c>
      <c r="G579">
        <v>3</v>
      </c>
      <c r="H579">
        <v>38</v>
      </c>
      <c r="I579">
        <v>1</v>
      </c>
      <c r="J579" t="s">
        <v>286</v>
      </c>
      <c r="K579" t="s">
        <v>36</v>
      </c>
    </row>
    <row r="580" spans="1:11" x14ac:dyDescent="0.25">
      <c r="A580">
        <v>395</v>
      </c>
      <c r="B580" t="s">
        <v>125</v>
      </c>
      <c r="C580" t="s">
        <v>126</v>
      </c>
      <c r="D580" t="s">
        <v>392</v>
      </c>
      <c r="E580" t="s">
        <v>42</v>
      </c>
      <c r="F580" t="s">
        <v>44</v>
      </c>
      <c r="G580">
        <v>7</v>
      </c>
      <c r="H580">
        <v>38</v>
      </c>
      <c r="I580">
        <v>5</v>
      </c>
      <c r="J580" t="s">
        <v>311</v>
      </c>
      <c r="K580" t="s">
        <v>36</v>
      </c>
    </row>
    <row r="581" spans="1:11" x14ac:dyDescent="0.25">
      <c r="A581">
        <v>442</v>
      </c>
      <c r="B581" t="s">
        <v>78</v>
      </c>
      <c r="C581" t="s">
        <v>79</v>
      </c>
      <c r="D581" t="s">
        <v>392</v>
      </c>
      <c r="E581" t="s">
        <v>42</v>
      </c>
      <c r="F581" t="s">
        <v>44</v>
      </c>
      <c r="G581">
        <v>3</v>
      </c>
      <c r="H581">
        <v>38</v>
      </c>
      <c r="I581">
        <v>1</v>
      </c>
      <c r="J581" t="s">
        <v>286</v>
      </c>
      <c r="K581" t="s">
        <v>36</v>
      </c>
    </row>
    <row r="582" spans="1:11" x14ac:dyDescent="0.25">
      <c r="A582">
        <v>472</v>
      </c>
      <c r="B582" t="s">
        <v>300</v>
      </c>
      <c r="C582" t="s">
        <v>301</v>
      </c>
      <c r="D582" t="s">
        <v>392</v>
      </c>
      <c r="E582" t="s">
        <v>42</v>
      </c>
      <c r="F582" t="s">
        <v>44</v>
      </c>
      <c r="G582">
        <v>6</v>
      </c>
      <c r="H582">
        <v>38</v>
      </c>
      <c r="I582">
        <v>4</v>
      </c>
      <c r="J582" t="s">
        <v>297</v>
      </c>
      <c r="K582" t="s">
        <v>36</v>
      </c>
    </row>
    <row r="583" spans="1:11" x14ac:dyDescent="0.25">
      <c r="A583">
        <v>495</v>
      </c>
      <c r="B583" t="s">
        <v>114</v>
      </c>
      <c r="C583" t="s">
        <v>116</v>
      </c>
      <c r="D583" t="s">
        <v>392</v>
      </c>
      <c r="E583" t="s">
        <v>42</v>
      </c>
      <c r="F583" t="s">
        <v>44</v>
      </c>
      <c r="G583">
        <v>5</v>
      </c>
      <c r="H583">
        <v>38</v>
      </c>
      <c r="I583">
        <v>3</v>
      </c>
      <c r="J583" t="s">
        <v>349</v>
      </c>
      <c r="K583" t="s">
        <v>36</v>
      </c>
    </row>
    <row r="584" spans="1:11" x14ac:dyDescent="0.25">
      <c r="A584">
        <v>523</v>
      </c>
      <c r="B584" t="s">
        <v>302</v>
      </c>
      <c r="C584" t="s">
        <v>303</v>
      </c>
      <c r="D584" t="s">
        <v>392</v>
      </c>
      <c r="E584" t="s">
        <v>42</v>
      </c>
      <c r="F584" t="s">
        <v>44</v>
      </c>
      <c r="G584">
        <v>5</v>
      </c>
      <c r="H584">
        <v>38</v>
      </c>
      <c r="I584">
        <v>3</v>
      </c>
      <c r="J584" t="s">
        <v>304</v>
      </c>
      <c r="K584" t="s">
        <v>36</v>
      </c>
    </row>
    <row r="585" spans="1:11" x14ac:dyDescent="0.25">
      <c r="A585">
        <v>548</v>
      </c>
      <c r="B585" t="s">
        <v>81</v>
      </c>
      <c r="C585" t="s">
        <v>83</v>
      </c>
      <c r="D585" t="s">
        <v>392</v>
      </c>
      <c r="E585" t="s">
        <v>42</v>
      </c>
      <c r="F585" t="s">
        <v>44</v>
      </c>
      <c r="G585">
        <v>7</v>
      </c>
      <c r="H585">
        <v>38</v>
      </c>
      <c r="I585">
        <v>5</v>
      </c>
      <c r="J585" t="s">
        <v>311</v>
      </c>
      <c r="K585" t="s">
        <v>36</v>
      </c>
    </row>
    <row r="586" spans="1:11" x14ac:dyDescent="0.25">
      <c r="A586">
        <v>578</v>
      </c>
      <c r="B586" t="s">
        <v>305</v>
      </c>
      <c r="C586" t="s">
        <v>306</v>
      </c>
      <c r="D586" t="s">
        <v>392</v>
      </c>
      <c r="E586" t="s">
        <v>42</v>
      </c>
      <c r="F586" t="s">
        <v>44</v>
      </c>
      <c r="G586">
        <v>5</v>
      </c>
      <c r="H586">
        <v>38</v>
      </c>
      <c r="I586">
        <v>3</v>
      </c>
      <c r="J586" t="s">
        <v>304</v>
      </c>
      <c r="K586" t="s">
        <v>36</v>
      </c>
    </row>
    <row r="587" spans="1:11" x14ac:dyDescent="0.25">
      <c r="A587">
        <v>605</v>
      </c>
      <c r="B587" t="s">
        <v>85</v>
      </c>
      <c r="C587" t="s">
        <v>87</v>
      </c>
      <c r="D587" t="s">
        <v>392</v>
      </c>
      <c r="E587" t="s">
        <v>42</v>
      </c>
      <c r="F587" t="s">
        <v>44</v>
      </c>
      <c r="G587">
        <v>7</v>
      </c>
      <c r="H587">
        <v>38</v>
      </c>
      <c r="I587">
        <v>5</v>
      </c>
      <c r="J587" t="s">
        <v>311</v>
      </c>
      <c r="K587" t="s">
        <v>36</v>
      </c>
    </row>
    <row r="588" spans="1:11" x14ac:dyDescent="0.25">
      <c r="A588">
        <v>23</v>
      </c>
      <c r="B588" t="s">
        <v>141</v>
      </c>
      <c r="C588" t="s">
        <v>142</v>
      </c>
      <c r="D588" t="s">
        <v>393</v>
      </c>
      <c r="E588" t="s">
        <v>56</v>
      </c>
      <c r="F588" t="s">
        <v>57</v>
      </c>
      <c r="G588">
        <v>5</v>
      </c>
      <c r="H588">
        <v>39</v>
      </c>
      <c r="I588">
        <v>5</v>
      </c>
      <c r="J588" t="s">
        <v>311</v>
      </c>
      <c r="K588" t="s">
        <v>36</v>
      </c>
    </row>
    <row r="589" spans="1:11" x14ac:dyDescent="0.25">
      <c r="A589">
        <v>38</v>
      </c>
      <c r="B589" t="s">
        <v>143</v>
      </c>
      <c r="C589" t="s">
        <v>144</v>
      </c>
      <c r="D589" t="s">
        <v>393</v>
      </c>
      <c r="E589" t="s">
        <v>56</v>
      </c>
      <c r="F589" t="s">
        <v>57</v>
      </c>
      <c r="G589">
        <v>4</v>
      </c>
      <c r="H589">
        <v>39</v>
      </c>
      <c r="I589">
        <v>5</v>
      </c>
      <c r="J589" t="s">
        <v>311</v>
      </c>
      <c r="K589" t="s">
        <v>36</v>
      </c>
    </row>
    <row r="590" spans="1:11" x14ac:dyDescent="0.25">
      <c r="A590">
        <v>49</v>
      </c>
      <c r="B590" t="s">
        <v>266</v>
      </c>
      <c r="C590" t="s">
        <v>267</v>
      </c>
      <c r="D590" t="s">
        <v>393</v>
      </c>
      <c r="E590" t="s">
        <v>56</v>
      </c>
      <c r="F590" t="s">
        <v>57</v>
      </c>
      <c r="G590">
        <v>2</v>
      </c>
      <c r="H590">
        <v>39</v>
      </c>
      <c r="I590">
        <v>1</v>
      </c>
      <c r="J590" t="s">
        <v>286</v>
      </c>
      <c r="K590" t="s">
        <v>36</v>
      </c>
    </row>
    <row r="591" spans="1:11" x14ac:dyDescent="0.25">
      <c r="A591">
        <v>65</v>
      </c>
      <c r="B591" t="s">
        <v>268</v>
      </c>
      <c r="C591" t="s">
        <v>269</v>
      </c>
      <c r="D591" t="s">
        <v>393</v>
      </c>
      <c r="E591" t="s">
        <v>56</v>
      </c>
      <c r="F591" t="s">
        <v>57</v>
      </c>
      <c r="G591">
        <v>3</v>
      </c>
      <c r="H591">
        <v>39</v>
      </c>
      <c r="I591">
        <v>1</v>
      </c>
      <c r="J591" t="s">
        <v>286</v>
      </c>
      <c r="K591" t="s">
        <v>36</v>
      </c>
    </row>
    <row r="592" spans="1:11" x14ac:dyDescent="0.25">
      <c r="A592">
        <v>98</v>
      </c>
      <c r="B592" t="s">
        <v>89</v>
      </c>
      <c r="C592" t="s">
        <v>90</v>
      </c>
      <c r="D592" t="s">
        <v>393</v>
      </c>
      <c r="E592" t="s">
        <v>56</v>
      </c>
      <c r="F592" t="s">
        <v>57</v>
      </c>
      <c r="G592">
        <v>3</v>
      </c>
      <c r="H592">
        <v>39</v>
      </c>
      <c r="I592">
        <v>1</v>
      </c>
      <c r="J592" t="s">
        <v>286</v>
      </c>
      <c r="K592" t="s">
        <v>36</v>
      </c>
    </row>
    <row r="593" spans="1:11" x14ac:dyDescent="0.25">
      <c r="A593">
        <v>113</v>
      </c>
      <c r="B593" t="s">
        <v>43</v>
      </c>
      <c r="C593" t="s">
        <v>45</v>
      </c>
      <c r="D593" t="s">
        <v>393</v>
      </c>
      <c r="E593" t="s">
        <v>56</v>
      </c>
      <c r="F593" t="s">
        <v>57</v>
      </c>
      <c r="G593">
        <v>3</v>
      </c>
      <c r="H593">
        <v>39</v>
      </c>
      <c r="I593">
        <v>1</v>
      </c>
      <c r="J593" t="s">
        <v>286</v>
      </c>
      <c r="K593" t="s">
        <v>36</v>
      </c>
    </row>
    <row r="594" spans="1:11" x14ac:dyDescent="0.25">
      <c r="A594">
        <v>129</v>
      </c>
      <c r="B594" t="s">
        <v>47</v>
      </c>
      <c r="C594" t="s">
        <v>49</v>
      </c>
      <c r="D594" t="s">
        <v>393</v>
      </c>
      <c r="E594" t="s">
        <v>56</v>
      </c>
      <c r="F594" t="s">
        <v>57</v>
      </c>
      <c r="G594">
        <v>6</v>
      </c>
      <c r="H594">
        <v>39</v>
      </c>
      <c r="I594">
        <v>5</v>
      </c>
      <c r="J594" t="s">
        <v>311</v>
      </c>
      <c r="K594" t="s">
        <v>36</v>
      </c>
    </row>
    <row r="595" spans="1:11" x14ac:dyDescent="0.25">
      <c r="A595">
        <v>145</v>
      </c>
      <c r="B595" t="s">
        <v>53</v>
      </c>
      <c r="C595" t="s">
        <v>55</v>
      </c>
      <c r="D595" t="s">
        <v>393</v>
      </c>
      <c r="E595" t="s">
        <v>56</v>
      </c>
      <c r="F595" t="s">
        <v>57</v>
      </c>
      <c r="G595">
        <v>3</v>
      </c>
      <c r="H595">
        <v>39</v>
      </c>
      <c r="I595">
        <v>1</v>
      </c>
      <c r="J595" t="s">
        <v>286</v>
      </c>
      <c r="K595" t="s">
        <v>36</v>
      </c>
    </row>
    <row r="596" spans="1:11" x14ac:dyDescent="0.25">
      <c r="A596">
        <v>160</v>
      </c>
      <c r="B596" t="s">
        <v>60</v>
      </c>
      <c r="C596" t="s">
        <v>61</v>
      </c>
      <c r="D596" t="s">
        <v>393</v>
      </c>
      <c r="E596" t="s">
        <v>56</v>
      </c>
      <c r="F596" t="s">
        <v>57</v>
      </c>
      <c r="G596">
        <v>7</v>
      </c>
      <c r="H596">
        <v>39</v>
      </c>
      <c r="I596">
        <v>4</v>
      </c>
      <c r="J596" t="s">
        <v>297</v>
      </c>
      <c r="K596" t="s">
        <v>36</v>
      </c>
    </row>
    <row r="597" spans="1:11" x14ac:dyDescent="0.25">
      <c r="A597">
        <v>183</v>
      </c>
      <c r="B597" t="s">
        <v>63</v>
      </c>
      <c r="C597" t="s">
        <v>65</v>
      </c>
      <c r="D597" t="s">
        <v>393</v>
      </c>
      <c r="E597" t="s">
        <v>56</v>
      </c>
      <c r="F597" t="s">
        <v>57</v>
      </c>
      <c r="G597">
        <v>7</v>
      </c>
      <c r="H597">
        <v>39</v>
      </c>
      <c r="I597">
        <v>5</v>
      </c>
      <c r="J597" t="s">
        <v>311</v>
      </c>
      <c r="K597" t="s">
        <v>36</v>
      </c>
    </row>
    <row r="598" spans="1:11" x14ac:dyDescent="0.25">
      <c r="A598">
        <v>205</v>
      </c>
      <c r="B598" t="s">
        <v>72</v>
      </c>
      <c r="C598" t="s">
        <v>73</v>
      </c>
      <c r="D598" t="s">
        <v>393</v>
      </c>
      <c r="E598" t="s">
        <v>56</v>
      </c>
      <c r="F598" t="s">
        <v>57</v>
      </c>
      <c r="G598">
        <v>4</v>
      </c>
      <c r="H598">
        <v>39</v>
      </c>
      <c r="I598">
        <v>2</v>
      </c>
      <c r="J598" t="s">
        <v>307</v>
      </c>
      <c r="K598" t="s">
        <v>36</v>
      </c>
    </row>
    <row r="599" spans="1:11" x14ac:dyDescent="0.25">
      <c r="A599">
        <v>228</v>
      </c>
      <c r="B599" t="s">
        <v>107</v>
      </c>
      <c r="C599" t="s">
        <v>108</v>
      </c>
      <c r="D599" t="s">
        <v>393</v>
      </c>
      <c r="E599" t="s">
        <v>56</v>
      </c>
      <c r="F599" t="s">
        <v>57</v>
      </c>
      <c r="G599">
        <v>7</v>
      </c>
      <c r="H599">
        <v>39</v>
      </c>
      <c r="I599">
        <v>4</v>
      </c>
      <c r="J599" t="s">
        <v>297</v>
      </c>
      <c r="K599" t="s">
        <v>36</v>
      </c>
    </row>
    <row r="600" spans="1:11" x14ac:dyDescent="0.25">
      <c r="A600">
        <v>247</v>
      </c>
      <c r="B600" t="s">
        <v>308</v>
      </c>
      <c r="C600" t="s">
        <v>309</v>
      </c>
      <c r="D600" t="s">
        <v>393</v>
      </c>
      <c r="E600" t="s">
        <v>56</v>
      </c>
      <c r="F600" t="s">
        <v>57</v>
      </c>
      <c r="G600">
        <v>4</v>
      </c>
      <c r="H600">
        <v>39</v>
      </c>
      <c r="I600">
        <v>3</v>
      </c>
      <c r="J600" t="s">
        <v>304</v>
      </c>
      <c r="K600" t="s">
        <v>36</v>
      </c>
    </row>
    <row r="601" spans="1:11" x14ac:dyDescent="0.25">
      <c r="A601">
        <v>263</v>
      </c>
      <c r="B601" t="s">
        <v>98</v>
      </c>
      <c r="C601" t="s">
        <v>100</v>
      </c>
      <c r="D601" t="s">
        <v>393</v>
      </c>
      <c r="E601" t="s">
        <v>56</v>
      </c>
      <c r="F601" t="s">
        <v>57</v>
      </c>
      <c r="G601">
        <v>7</v>
      </c>
      <c r="H601">
        <v>39</v>
      </c>
      <c r="I601">
        <v>5</v>
      </c>
      <c r="J601" t="s">
        <v>311</v>
      </c>
      <c r="K601" t="s">
        <v>36</v>
      </c>
    </row>
    <row r="602" spans="1:11" x14ac:dyDescent="0.25">
      <c r="A602">
        <v>304</v>
      </c>
      <c r="B602" t="s">
        <v>75</v>
      </c>
      <c r="C602" t="s">
        <v>77</v>
      </c>
      <c r="D602" t="s">
        <v>393</v>
      </c>
      <c r="E602" t="s">
        <v>56</v>
      </c>
      <c r="F602" t="s">
        <v>57</v>
      </c>
      <c r="G602">
        <v>5</v>
      </c>
      <c r="H602">
        <v>39</v>
      </c>
      <c r="I602">
        <v>3</v>
      </c>
      <c r="J602" t="s">
        <v>349</v>
      </c>
      <c r="K602" t="s">
        <v>36</v>
      </c>
    </row>
    <row r="603" spans="1:11" x14ac:dyDescent="0.25">
      <c r="A603">
        <v>329</v>
      </c>
      <c r="B603" t="s">
        <v>293</v>
      </c>
      <c r="C603" t="s">
        <v>294</v>
      </c>
      <c r="D603" t="s">
        <v>393</v>
      </c>
      <c r="E603" t="s">
        <v>56</v>
      </c>
      <c r="F603" t="s">
        <v>57</v>
      </c>
      <c r="G603">
        <v>3</v>
      </c>
      <c r="H603">
        <v>39</v>
      </c>
      <c r="I603">
        <v>1</v>
      </c>
      <c r="J603" t="s">
        <v>286</v>
      </c>
      <c r="K603" t="s">
        <v>36</v>
      </c>
    </row>
    <row r="604" spans="1:11" x14ac:dyDescent="0.25">
      <c r="A604">
        <v>350</v>
      </c>
      <c r="B604" t="s">
        <v>109</v>
      </c>
      <c r="C604" t="s">
        <v>110</v>
      </c>
      <c r="D604" t="s">
        <v>393</v>
      </c>
      <c r="E604" t="s">
        <v>56</v>
      </c>
      <c r="F604" t="s">
        <v>57</v>
      </c>
      <c r="G604">
        <v>4</v>
      </c>
      <c r="H604">
        <v>39</v>
      </c>
      <c r="I604">
        <v>2</v>
      </c>
      <c r="J604" t="s">
        <v>307</v>
      </c>
      <c r="K604" t="s">
        <v>36</v>
      </c>
    </row>
    <row r="605" spans="1:11" x14ac:dyDescent="0.25">
      <c r="A605">
        <v>399</v>
      </c>
      <c r="B605" t="s">
        <v>125</v>
      </c>
      <c r="C605" t="s">
        <v>126</v>
      </c>
      <c r="D605" t="s">
        <v>393</v>
      </c>
      <c r="E605" t="s">
        <v>56</v>
      </c>
      <c r="F605" t="s">
        <v>57</v>
      </c>
      <c r="G605">
        <v>7</v>
      </c>
      <c r="H605">
        <v>39</v>
      </c>
      <c r="I605">
        <v>5</v>
      </c>
      <c r="J605" t="s">
        <v>311</v>
      </c>
      <c r="K605" t="s">
        <v>36</v>
      </c>
    </row>
    <row r="606" spans="1:11" x14ac:dyDescent="0.25">
      <c r="A606">
        <v>447</v>
      </c>
      <c r="B606" t="s">
        <v>78</v>
      </c>
      <c r="C606" t="s">
        <v>79</v>
      </c>
      <c r="D606" t="s">
        <v>393</v>
      </c>
      <c r="E606" t="s">
        <v>56</v>
      </c>
      <c r="F606" t="s">
        <v>57</v>
      </c>
      <c r="G606">
        <v>3</v>
      </c>
      <c r="H606">
        <v>39</v>
      </c>
      <c r="I606">
        <v>1</v>
      </c>
      <c r="J606" t="s">
        <v>286</v>
      </c>
      <c r="K606" t="s">
        <v>36</v>
      </c>
    </row>
    <row r="607" spans="1:11" x14ac:dyDescent="0.25">
      <c r="A607">
        <v>501</v>
      </c>
      <c r="B607" t="s">
        <v>114</v>
      </c>
      <c r="C607" t="s">
        <v>116</v>
      </c>
      <c r="D607" t="s">
        <v>393</v>
      </c>
      <c r="E607" t="s">
        <v>56</v>
      </c>
      <c r="F607" t="s">
        <v>57</v>
      </c>
      <c r="G607">
        <v>3</v>
      </c>
      <c r="H607">
        <v>39</v>
      </c>
      <c r="I607">
        <v>1</v>
      </c>
      <c r="J607" t="s">
        <v>286</v>
      </c>
      <c r="K607" t="s">
        <v>36</v>
      </c>
    </row>
    <row r="608" spans="1:11" x14ac:dyDescent="0.25">
      <c r="A608">
        <v>580</v>
      </c>
      <c r="B608" t="s">
        <v>305</v>
      </c>
      <c r="C608" t="s">
        <v>306</v>
      </c>
      <c r="D608" t="s">
        <v>393</v>
      </c>
      <c r="E608" t="s">
        <v>56</v>
      </c>
      <c r="F608" t="s">
        <v>57</v>
      </c>
      <c r="G608">
        <v>5</v>
      </c>
      <c r="H608">
        <v>39</v>
      </c>
      <c r="I608">
        <v>3</v>
      </c>
      <c r="J608" t="s">
        <v>304</v>
      </c>
      <c r="K608" t="s">
        <v>36</v>
      </c>
    </row>
    <row r="609" spans="1:11" x14ac:dyDescent="0.25">
      <c r="A609">
        <v>12</v>
      </c>
      <c r="B609" t="s">
        <v>119</v>
      </c>
      <c r="C609" t="s">
        <v>120</v>
      </c>
      <c r="D609" t="s">
        <v>394</v>
      </c>
      <c r="E609" t="s">
        <v>157</v>
      </c>
      <c r="F609" t="s">
        <v>158</v>
      </c>
      <c r="G609">
        <v>4</v>
      </c>
      <c r="H609">
        <v>8.4499999999999993</v>
      </c>
      <c r="I609">
        <v>5</v>
      </c>
      <c r="J609" t="s">
        <v>311</v>
      </c>
      <c r="K609" t="s">
        <v>146</v>
      </c>
    </row>
    <row r="610" spans="1:11" x14ac:dyDescent="0.25">
      <c r="A610">
        <v>56</v>
      </c>
      <c r="B610" t="s">
        <v>266</v>
      </c>
      <c r="C610" t="s">
        <v>267</v>
      </c>
      <c r="D610" t="s">
        <v>394</v>
      </c>
      <c r="E610" t="s">
        <v>157</v>
      </c>
      <c r="F610" t="s">
        <v>158</v>
      </c>
      <c r="G610">
        <v>4</v>
      </c>
      <c r="H610">
        <v>8.4499999999999993</v>
      </c>
      <c r="I610">
        <v>5</v>
      </c>
      <c r="J610" t="s">
        <v>385</v>
      </c>
      <c r="K610" t="s">
        <v>146</v>
      </c>
    </row>
    <row r="611" spans="1:11" x14ac:dyDescent="0.25">
      <c r="A611">
        <v>71</v>
      </c>
      <c r="B611" t="s">
        <v>268</v>
      </c>
      <c r="C611" t="s">
        <v>269</v>
      </c>
      <c r="D611" t="s">
        <v>394</v>
      </c>
      <c r="E611" t="s">
        <v>157</v>
      </c>
      <c r="F611" t="s">
        <v>158</v>
      </c>
      <c r="G611">
        <v>5</v>
      </c>
      <c r="H611">
        <v>8.4499999999999993</v>
      </c>
      <c r="I611">
        <v>4</v>
      </c>
      <c r="J611" t="s">
        <v>297</v>
      </c>
      <c r="K611" t="s">
        <v>146</v>
      </c>
    </row>
    <row r="612" spans="1:11" x14ac:dyDescent="0.25">
      <c r="A612">
        <v>103</v>
      </c>
      <c r="B612" t="s">
        <v>89</v>
      </c>
      <c r="C612" t="s">
        <v>90</v>
      </c>
      <c r="D612" t="s">
        <v>394</v>
      </c>
      <c r="E612" t="s">
        <v>157</v>
      </c>
      <c r="F612" t="s">
        <v>158</v>
      </c>
      <c r="G612">
        <v>3</v>
      </c>
      <c r="H612">
        <v>8.4499999999999993</v>
      </c>
      <c r="I612">
        <v>1</v>
      </c>
      <c r="J612" t="s">
        <v>286</v>
      </c>
      <c r="K612" t="s">
        <v>146</v>
      </c>
    </row>
    <row r="613" spans="1:11" x14ac:dyDescent="0.25">
      <c r="A613">
        <v>120</v>
      </c>
      <c r="B613" t="s">
        <v>43</v>
      </c>
      <c r="C613" t="s">
        <v>45</v>
      </c>
      <c r="D613" t="s">
        <v>394</v>
      </c>
      <c r="E613" t="s">
        <v>157</v>
      </c>
      <c r="F613" t="s">
        <v>158</v>
      </c>
      <c r="G613">
        <v>4</v>
      </c>
      <c r="H613">
        <v>8.4499999999999993</v>
      </c>
      <c r="I613">
        <v>3</v>
      </c>
      <c r="J613" t="s">
        <v>349</v>
      </c>
      <c r="K613" t="s">
        <v>146</v>
      </c>
    </row>
    <row r="614" spans="1:11" x14ac:dyDescent="0.25">
      <c r="A614">
        <v>136</v>
      </c>
      <c r="B614" t="s">
        <v>47</v>
      </c>
      <c r="C614" t="s">
        <v>49</v>
      </c>
      <c r="D614" t="s">
        <v>394</v>
      </c>
      <c r="E614" t="s">
        <v>157</v>
      </c>
      <c r="F614" t="s">
        <v>158</v>
      </c>
      <c r="G614">
        <v>6</v>
      </c>
      <c r="H614">
        <v>8.4499999999999993</v>
      </c>
      <c r="I614">
        <v>4</v>
      </c>
      <c r="J614" t="s">
        <v>297</v>
      </c>
      <c r="K614" t="s">
        <v>146</v>
      </c>
    </row>
    <row r="615" spans="1:11" x14ac:dyDescent="0.25">
      <c r="A615">
        <v>150</v>
      </c>
      <c r="B615" t="s">
        <v>53</v>
      </c>
      <c r="C615" t="s">
        <v>55</v>
      </c>
      <c r="D615" t="s">
        <v>394</v>
      </c>
      <c r="E615" t="s">
        <v>157</v>
      </c>
      <c r="F615" t="s">
        <v>158</v>
      </c>
      <c r="G615">
        <v>3</v>
      </c>
      <c r="H615">
        <v>8.4499999999999993</v>
      </c>
      <c r="I615">
        <v>1</v>
      </c>
      <c r="J615" t="s">
        <v>286</v>
      </c>
      <c r="K615" t="s">
        <v>146</v>
      </c>
    </row>
    <row r="616" spans="1:11" x14ac:dyDescent="0.25">
      <c r="A616">
        <v>216</v>
      </c>
      <c r="B616" t="s">
        <v>72</v>
      </c>
      <c r="C616" t="s">
        <v>73</v>
      </c>
      <c r="D616" t="s">
        <v>394</v>
      </c>
      <c r="E616" t="s">
        <v>157</v>
      </c>
      <c r="F616" t="s">
        <v>158</v>
      </c>
      <c r="G616">
        <v>4</v>
      </c>
      <c r="H616">
        <v>8.4499999999999993</v>
      </c>
      <c r="I616">
        <v>2</v>
      </c>
      <c r="J616" t="s">
        <v>307</v>
      </c>
      <c r="K616" t="s">
        <v>146</v>
      </c>
    </row>
    <row r="617" spans="1:11" x14ac:dyDescent="0.25">
      <c r="A617">
        <v>239</v>
      </c>
      <c r="B617" t="s">
        <v>107</v>
      </c>
      <c r="C617" t="s">
        <v>108</v>
      </c>
      <c r="D617" t="s">
        <v>394</v>
      </c>
      <c r="E617" t="s">
        <v>157</v>
      </c>
      <c r="F617" t="s">
        <v>158</v>
      </c>
      <c r="G617">
        <v>4</v>
      </c>
      <c r="H617">
        <v>8.4499999999999993</v>
      </c>
      <c r="I617">
        <v>2</v>
      </c>
      <c r="J617" t="s">
        <v>307</v>
      </c>
      <c r="K617" t="s">
        <v>146</v>
      </c>
    </row>
    <row r="618" spans="1:11" x14ac:dyDescent="0.25">
      <c r="A618">
        <v>369</v>
      </c>
      <c r="B618" t="s">
        <v>109</v>
      </c>
      <c r="C618" t="s">
        <v>110</v>
      </c>
      <c r="D618" t="s">
        <v>394</v>
      </c>
      <c r="E618" t="s">
        <v>157</v>
      </c>
      <c r="F618" t="s">
        <v>158</v>
      </c>
      <c r="G618">
        <v>3</v>
      </c>
      <c r="H618">
        <v>8.4499999999999993</v>
      </c>
      <c r="I618">
        <v>1</v>
      </c>
      <c r="J618" t="s">
        <v>286</v>
      </c>
      <c r="K618" t="s">
        <v>146</v>
      </c>
    </row>
    <row r="619" spans="1:11" x14ac:dyDescent="0.25">
      <c r="A619">
        <v>465</v>
      </c>
      <c r="B619" t="s">
        <v>78</v>
      </c>
      <c r="C619" t="s">
        <v>79</v>
      </c>
      <c r="D619" t="s">
        <v>394</v>
      </c>
      <c r="E619" t="s">
        <v>157</v>
      </c>
      <c r="F619" t="s">
        <v>158</v>
      </c>
      <c r="G619">
        <v>7</v>
      </c>
      <c r="H619">
        <v>8.4499999999999993</v>
      </c>
      <c r="I619">
        <v>4</v>
      </c>
      <c r="J619" t="s">
        <v>297</v>
      </c>
      <c r="K619" t="s">
        <v>146</v>
      </c>
    </row>
    <row r="620" spans="1:11" x14ac:dyDescent="0.25">
      <c r="A620">
        <v>513</v>
      </c>
      <c r="B620" t="s">
        <v>114</v>
      </c>
      <c r="C620" t="s">
        <v>116</v>
      </c>
      <c r="D620" t="s">
        <v>394</v>
      </c>
      <c r="E620" t="s">
        <v>157</v>
      </c>
      <c r="F620" t="s">
        <v>158</v>
      </c>
      <c r="G620">
        <v>4</v>
      </c>
      <c r="H620">
        <v>8.4499999999999993</v>
      </c>
      <c r="I620">
        <v>2</v>
      </c>
      <c r="J620" t="s">
        <v>307</v>
      </c>
      <c r="K620" t="s">
        <v>146</v>
      </c>
    </row>
    <row r="621" spans="1:11" x14ac:dyDescent="0.25">
      <c r="A621">
        <v>569</v>
      </c>
      <c r="B621" t="s">
        <v>81</v>
      </c>
      <c r="C621" t="s">
        <v>83</v>
      </c>
      <c r="D621" t="s">
        <v>394</v>
      </c>
      <c r="E621" t="s">
        <v>157</v>
      </c>
      <c r="F621" t="s">
        <v>158</v>
      </c>
      <c r="G621">
        <v>5</v>
      </c>
      <c r="H621">
        <v>8.4499999999999993</v>
      </c>
      <c r="I621">
        <v>3</v>
      </c>
      <c r="J621" t="s">
        <v>349</v>
      </c>
      <c r="K621" t="s">
        <v>146</v>
      </c>
    </row>
    <row r="622" spans="1:11" x14ac:dyDescent="0.25">
      <c r="A622">
        <v>624</v>
      </c>
      <c r="B622" t="s">
        <v>85</v>
      </c>
      <c r="C622" t="s">
        <v>87</v>
      </c>
      <c r="D622" t="s">
        <v>394</v>
      </c>
      <c r="E622" t="s">
        <v>157</v>
      </c>
      <c r="F622" t="s">
        <v>158</v>
      </c>
      <c r="G622">
        <v>3</v>
      </c>
      <c r="H622">
        <v>8.4499999999999993</v>
      </c>
      <c r="I622">
        <v>1</v>
      </c>
      <c r="J622" t="s">
        <v>286</v>
      </c>
      <c r="K622" t="s">
        <v>146</v>
      </c>
    </row>
    <row r="623" spans="1:11" x14ac:dyDescent="0.25">
      <c r="A623">
        <v>471</v>
      </c>
      <c r="B623" t="s">
        <v>300</v>
      </c>
      <c r="C623" t="s">
        <v>301</v>
      </c>
      <c r="D623" t="s">
        <v>395</v>
      </c>
      <c r="E623" t="s">
        <v>396</v>
      </c>
      <c r="F623" t="s">
        <v>397</v>
      </c>
      <c r="G623">
        <v>3</v>
      </c>
      <c r="H623">
        <v>99</v>
      </c>
      <c r="I623">
        <v>1</v>
      </c>
      <c r="J623" t="s">
        <v>286</v>
      </c>
      <c r="K623" t="s">
        <v>163</v>
      </c>
    </row>
    <row r="624" spans="1:11" x14ac:dyDescent="0.25">
      <c r="A624">
        <v>536</v>
      </c>
      <c r="B624" t="s">
        <v>302</v>
      </c>
      <c r="C624" t="s">
        <v>303</v>
      </c>
      <c r="D624" t="s">
        <v>398</v>
      </c>
      <c r="E624" t="s">
        <v>399</v>
      </c>
      <c r="F624" t="s">
        <v>400</v>
      </c>
      <c r="G624">
        <v>3</v>
      </c>
      <c r="H624">
        <v>99</v>
      </c>
      <c r="I624">
        <v>1</v>
      </c>
      <c r="J624" t="s">
        <v>286</v>
      </c>
      <c r="K624" t="s">
        <v>153</v>
      </c>
    </row>
    <row r="625" spans="1:11" x14ac:dyDescent="0.25">
      <c r="A625">
        <v>592</v>
      </c>
      <c r="B625" t="s">
        <v>305</v>
      </c>
      <c r="C625" t="s">
        <v>306</v>
      </c>
      <c r="D625" t="s">
        <v>398</v>
      </c>
      <c r="E625" t="s">
        <v>399</v>
      </c>
      <c r="F625" t="s">
        <v>400</v>
      </c>
      <c r="G625">
        <v>3</v>
      </c>
      <c r="H625">
        <v>99</v>
      </c>
      <c r="I625">
        <v>1</v>
      </c>
      <c r="J625" t="s">
        <v>286</v>
      </c>
      <c r="K625" t="s">
        <v>153</v>
      </c>
    </row>
    <row r="626" spans="1:11" x14ac:dyDescent="0.25">
      <c r="A626">
        <v>244</v>
      </c>
      <c r="B626" t="s">
        <v>308</v>
      </c>
      <c r="C626" t="s">
        <v>309</v>
      </c>
      <c r="D626" t="s">
        <v>401</v>
      </c>
      <c r="E626" t="s">
        <v>402</v>
      </c>
      <c r="F626" t="s">
        <v>403</v>
      </c>
      <c r="G626">
        <v>4</v>
      </c>
      <c r="H626">
        <v>99</v>
      </c>
      <c r="I626">
        <v>3</v>
      </c>
      <c r="J626" t="s">
        <v>304</v>
      </c>
      <c r="K626" t="s">
        <v>153</v>
      </c>
    </row>
  </sheetData>
  <autoFilter ref="A1:K626" xr:uid="{2C3A05AD-010D-463A-B2AF-6759C7B96836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2AD59-E4A0-4971-AFFE-505F0D98A61D}">
  <dimension ref="A1:I490"/>
  <sheetViews>
    <sheetView topLeftCell="B1" workbookViewId="0">
      <selection activeCell="G141" sqref="G141"/>
    </sheetView>
  </sheetViews>
  <sheetFormatPr defaultRowHeight="15" x14ac:dyDescent="0.25"/>
  <cols>
    <col min="1" max="1" width="22.42578125" bestFit="1" customWidth="1"/>
    <col min="2" max="2" width="22" bestFit="1" customWidth="1"/>
    <col min="3" max="3" width="15.28515625" bestFit="1" customWidth="1"/>
    <col min="4" max="4" width="24.85546875" bestFit="1" customWidth="1"/>
    <col min="5" max="5" width="14.42578125" bestFit="1" customWidth="1"/>
    <col min="6" max="6" width="10.85546875" bestFit="1" customWidth="1"/>
    <col min="7" max="7" width="16.140625" bestFit="1" customWidth="1"/>
    <col min="8" max="8" width="25.140625" bestFit="1" customWidth="1"/>
    <col min="9" max="9" width="10.5703125" bestFit="1" customWidth="1"/>
  </cols>
  <sheetData>
    <row r="1" spans="1:9" x14ac:dyDescent="0.25">
      <c r="A1" s="3" t="s">
        <v>27</v>
      </c>
      <c r="B1" s="3" t="s">
        <v>264</v>
      </c>
      <c r="C1" s="3" t="s">
        <v>28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265</v>
      </c>
    </row>
    <row r="2" spans="1:9" x14ac:dyDescent="0.25">
      <c r="A2" s="3" t="s">
        <v>226</v>
      </c>
      <c r="B2" s="3" t="s">
        <v>4</v>
      </c>
      <c r="C2" s="3" t="s">
        <v>162</v>
      </c>
      <c r="D2" s="3" t="s">
        <v>163</v>
      </c>
      <c r="E2" s="3" t="s">
        <v>125</v>
      </c>
      <c r="F2" s="3" t="s">
        <v>227</v>
      </c>
      <c r="G2" s="3" t="s">
        <v>4</v>
      </c>
      <c r="H2" s="3" t="s">
        <v>126</v>
      </c>
      <c r="I2" s="4">
        <v>1</v>
      </c>
    </row>
    <row r="3" spans="1:9" x14ac:dyDescent="0.25">
      <c r="A3" s="3" t="s">
        <v>237</v>
      </c>
      <c r="B3" s="3" t="s">
        <v>4</v>
      </c>
      <c r="C3" s="3" t="s">
        <v>191</v>
      </c>
      <c r="D3" s="3" t="s">
        <v>153</v>
      </c>
      <c r="E3" s="3" t="s">
        <v>107</v>
      </c>
      <c r="F3" s="3" t="s">
        <v>238</v>
      </c>
      <c r="G3" s="3" t="s">
        <v>4</v>
      </c>
      <c r="H3" s="3" t="s">
        <v>108</v>
      </c>
      <c r="I3" s="4">
        <v>1</v>
      </c>
    </row>
    <row r="4" spans="1:9" x14ac:dyDescent="0.25">
      <c r="A4" s="3" t="s">
        <v>165</v>
      </c>
      <c r="B4" s="3" t="s">
        <v>19</v>
      </c>
      <c r="C4" s="3" t="s">
        <v>145</v>
      </c>
      <c r="D4" s="3" t="s">
        <v>146</v>
      </c>
      <c r="E4" s="3" t="s">
        <v>72</v>
      </c>
      <c r="F4" s="3" t="s">
        <v>166</v>
      </c>
      <c r="G4" s="3" t="s">
        <v>19</v>
      </c>
      <c r="H4" s="3" t="s">
        <v>73</v>
      </c>
      <c r="I4" s="4">
        <v>6</v>
      </c>
    </row>
    <row r="5" spans="1:9" x14ac:dyDescent="0.25">
      <c r="A5" s="3" t="s">
        <v>165</v>
      </c>
      <c r="B5" s="3" t="s">
        <v>19</v>
      </c>
      <c r="C5" s="3" t="s">
        <v>145</v>
      </c>
      <c r="D5" s="3" t="s">
        <v>146</v>
      </c>
      <c r="E5" s="3" t="s">
        <v>85</v>
      </c>
      <c r="F5" s="3" t="s">
        <v>166</v>
      </c>
      <c r="G5" s="3" t="s">
        <v>19</v>
      </c>
      <c r="H5" s="3" t="s">
        <v>87</v>
      </c>
      <c r="I5" s="4">
        <v>6</v>
      </c>
    </row>
    <row r="6" spans="1:9" x14ac:dyDescent="0.25">
      <c r="A6" s="3" t="s">
        <v>165</v>
      </c>
      <c r="B6" s="3" t="s">
        <v>19</v>
      </c>
      <c r="C6" s="3" t="s">
        <v>145</v>
      </c>
      <c r="D6" s="3" t="s">
        <v>146</v>
      </c>
      <c r="E6" s="3" t="s">
        <v>60</v>
      </c>
      <c r="F6" s="3" t="s">
        <v>166</v>
      </c>
      <c r="G6" s="3" t="s">
        <v>19</v>
      </c>
      <c r="H6" s="3" t="s">
        <v>61</v>
      </c>
      <c r="I6" s="4">
        <v>6</v>
      </c>
    </row>
    <row r="7" spans="1:9" x14ac:dyDescent="0.25">
      <c r="A7" s="3" t="s">
        <v>165</v>
      </c>
      <c r="B7" s="3" t="s">
        <v>270</v>
      </c>
      <c r="C7" s="3" t="s">
        <v>145</v>
      </c>
      <c r="D7" s="3" t="s">
        <v>146</v>
      </c>
      <c r="E7" s="3" t="s">
        <v>107</v>
      </c>
      <c r="F7" s="3" t="s">
        <v>166</v>
      </c>
      <c r="G7" s="3" t="s">
        <v>16</v>
      </c>
      <c r="H7" s="3" t="s">
        <v>108</v>
      </c>
      <c r="I7" s="4">
        <v>5</v>
      </c>
    </row>
    <row r="8" spans="1:9" x14ac:dyDescent="0.25">
      <c r="A8" s="3" t="s">
        <v>165</v>
      </c>
      <c r="B8" s="3" t="s">
        <v>270</v>
      </c>
      <c r="C8" s="3" t="s">
        <v>145</v>
      </c>
      <c r="D8" s="3" t="s">
        <v>146</v>
      </c>
      <c r="E8" s="3" t="s">
        <v>119</v>
      </c>
      <c r="F8" s="3" t="s">
        <v>166</v>
      </c>
      <c r="G8" s="3" t="s">
        <v>16</v>
      </c>
      <c r="H8" s="3" t="s">
        <v>120</v>
      </c>
      <c r="I8" s="4">
        <v>5</v>
      </c>
    </row>
    <row r="9" spans="1:9" x14ac:dyDescent="0.25">
      <c r="A9" s="3" t="s">
        <v>165</v>
      </c>
      <c r="B9" s="3" t="s">
        <v>270</v>
      </c>
      <c r="C9" s="3" t="s">
        <v>145</v>
      </c>
      <c r="D9" s="3" t="s">
        <v>146</v>
      </c>
      <c r="E9" s="3" t="s">
        <v>114</v>
      </c>
      <c r="F9" s="3" t="s">
        <v>166</v>
      </c>
      <c r="G9" s="3" t="s">
        <v>16</v>
      </c>
      <c r="H9" s="3" t="s">
        <v>116</v>
      </c>
      <c r="I9" s="4">
        <v>5</v>
      </c>
    </row>
    <row r="10" spans="1:9" x14ac:dyDescent="0.25">
      <c r="A10" s="3" t="s">
        <v>165</v>
      </c>
      <c r="B10" s="3" t="s">
        <v>263</v>
      </c>
      <c r="C10" s="3" t="s">
        <v>145</v>
      </c>
      <c r="D10" s="3" t="s">
        <v>146</v>
      </c>
      <c r="E10" s="3" t="s">
        <v>75</v>
      </c>
      <c r="F10" s="3" t="s">
        <v>166</v>
      </c>
      <c r="G10" s="3" t="s">
        <v>263</v>
      </c>
      <c r="H10" s="3" t="s">
        <v>77</v>
      </c>
      <c r="I10" s="4">
        <v>3</v>
      </c>
    </row>
    <row r="11" spans="1:9" x14ac:dyDescent="0.25">
      <c r="A11" s="3" t="s">
        <v>165</v>
      </c>
      <c r="B11" s="3" t="s">
        <v>263</v>
      </c>
      <c r="C11" s="3" t="s">
        <v>145</v>
      </c>
      <c r="D11" s="3" t="s">
        <v>146</v>
      </c>
      <c r="E11" s="3" t="s">
        <v>78</v>
      </c>
      <c r="F11" s="3" t="s">
        <v>166</v>
      </c>
      <c r="G11" s="3" t="s">
        <v>263</v>
      </c>
      <c r="H11" s="3" t="s">
        <v>79</v>
      </c>
      <c r="I11" s="4">
        <v>3</v>
      </c>
    </row>
    <row r="12" spans="1:9" x14ac:dyDescent="0.25">
      <c r="A12" s="3" t="s">
        <v>165</v>
      </c>
      <c r="B12" s="3" t="s">
        <v>263</v>
      </c>
      <c r="C12" s="3" t="s">
        <v>145</v>
      </c>
      <c r="D12" s="3" t="s">
        <v>146</v>
      </c>
      <c r="E12" s="3" t="s">
        <v>43</v>
      </c>
      <c r="F12" s="3" t="s">
        <v>166</v>
      </c>
      <c r="G12" s="3" t="s">
        <v>263</v>
      </c>
      <c r="H12" s="3" t="s">
        <v>45</v>
      </c>
      <c r="I12" s="4">
        <v>3</v>
      </c>
    </row>
    <row r="13" spans="1:9" x14ac:dyDescent="0.25">
      <c r="A13" s="3" t="s">
        <v>165</v>
      </c>
      <c r="B13" s="3" t="s">
        <v>263</v>
      </c>
      <c r="C13" s="3" t="s">
        <v>145</v>
      </c>
      <c r="D13" s="3" t="s">
        <v>146</v>
      </c>
      <c r="E13" s="3" t="s">
        <v>125</v>
      </c>
      <c r="F13" s="3" t="s">
        <v>166</v>
      </c>
      <c r="G13" s="3" t="s">
        <v>263</v>
      </c>
      <c r="H13" s="3" t="s">
        <v>126</v>
      </c>
      <c r="I13" s="4">
        <v>3</v>
      </c>
    </row>
    <row r="14" spans="1:9" x14ac:dyDescent="0.25">
      <c r="A14" s="3" t="s">
        <v>165</v>
      </c>
      <c r="B14" s="3" t="s">
        <v>7</v>
      </c>
      <c r="C14" s="3" t="s">
        <v>145</v>
      </c>
      <c r="D14" s="3" t="s">
        <v>146</v>
      </c>
      <c r="E14" s="3" t="s">
        <v>81</v>
      </c>
      <c r="F14" s="3" t="s">
        <v>166</v>
      </c>
      <c r="G14" s="3" t="s">
        <v>7</v>
      </c>
      <c r="H14" s="3" t="s">
        <v>83</v>
      </c>
      <c r="I14" s="4">
        <v>2</v>
      </c>
    </row>
    <row r="15" spans="1:9" x14ac:dyDescent="0.25">
      <c r="A15" s="3" t="s">
        <v>165</v>
      </c>
      <c r="B15" s="3" t="s">
        <v>7</v>
      </c>
      <c r="C15" s="3" t="s">
        <v>145</v>
      </c>
      <c r="D15" s="3" t="s">
        <v>146</v>
      </c>
      <c r="E15" s="3" t="s">
        <v>98</v>
      </c>
      <c r="F15" s="3" t="s">
        <v>166</v>
      </c>
      <c r="G15" s="3" t="s">
        <v>7</v>
      </c>
      <c r="H15" s="3" t="s">
        <v>100</v>
      </c>
      <c r="I15" s="4">
        <v>2</v>
      </c>
    </row>
    <row r="16" spans="1:9" x14ac:dyDescent="0.25">
      <c r="A16" s="3" t="s">
        <v>165</v>
      </c>
      <c r="B16" s="3" t="s">
        <v>7</v>
      </c>
      <c r="C16" s="3" t="s">
        <v>145</v>
      </c>
      <c r="D16" s="3" t="s">
        <v>146</v>
      </c>
      <c r="E16" s="3" t="s">
        <v>141</v>
      </c>
      <c r="F16" s="3" t="s">
        <v>166</v>
      </c>
      <c r="G16" s="3" t="s">
        <v>7</v>
      </c>
      <c r="H16" s="3" t="s">
        <v>142</v>
      </c>
      <c r="I16" s="4">
        <v>2</v>
      </c>
    </row>
    <row r="17" spans="1:9" x14ac:dyDescent="0.25">
      <c r="A17" s="3" t="s">
        <v>165</v>
      </c>
      <c r="B17" s="3" t="s">
        <v>4</v>
      </c>
      <c r="C17" s="3" t="s">
        <v>145</v>
      </c>
      <c r="D17" s="3" t="s">
        <v>146</v>
      </c>
      <c r="E17" s="3" t="s">
        <v>53</v>
      </c>
      <c r="F17" s="3" t="s">
        <v>166</v>
      </c>
      <c r="G17" s="3" t="s">
        <v>4</v>
      </c>
      <c r="H17" s="3" t="s">
        <v>55</v>
      </c>
      <c r="I17" s="4">
        <v>1</v>
      </c>
    </row>
    <row r="18" spans="1:9" x14ac:dyDescent="0.25">
      <c r="A18" s="3" t="s">
        <v>165</v>
      </c>
      <c r="B18" s="3" t="s">
        <v>4</v>
      </c>
      <c r="C18" s="3" t="s">
        <v>145</v>
      </c>
      <c r="D18" s="3" t="s">
        <v>146</v>
      </c>
      <c r="E18" s="3" t="s">
        <v>109</v>
      </c>
      <c r="F18" s="3" t="s">
        <v>166</v>
      </c>
      <c r="G18" s="3" t="s">
        <v>4</v>
      </c>
      <c r="H18" s="3" t="s">
        <v>110</v>
      </c>
      <c r="I18" s="4">
        <v>1</v>
      </c>
    </row>
    <row r="19" spans="1:9" x14ac:dyDescent="0.25">
      <c r="A19" s="3" t="s">
        <v>165</v>
      </c>
      <c r="B19" s="3" t="s">
        <v>4</v>
      </c>
      <c r="C19" s="3" t="s">
        <v>145</v>
      </c>
      <c r="D19" s="3" t="s">
        <v>146</v>
      </c>
      <c r="E19" s="3" t="s">
        <v>89</v>
      </c>
      <c r="F19" s="3" t="s">
        <v>166</v>
      </c>
      <c r="G19" s="3" t="s">
        <v>4</v>
      </c>
      <c r="H19" s="3" t="s">
        <v>90</v>
      </c>
      <c r="I19" s="4">
        <v>1</v>
      </c>
    </row>
    <row r="20" spans="1:9" x14ac:dyDescent="0.25">
      <c r="A20" s="3" t="s">
        <v>165</v>
      </c>
      <c r="B20" s="3" t="s">
        <v>4</v>
      </c>
      <c r="C20" s="3" t="s">
        <v>145</v>
      </c>
      <c r="D20" s="3" t="s">
        <v>146</v>
      </c>
      <c r="E20" s="3" t="s">
        <v>37</v>
      </c>
      <c r="F20" s="3" t="s">
        <v>166</v>
      </c>
      <c r="G20" s="3" t="s">
        <v>4</v>
      </c>
      <c r="H20" s="3" t="s">
        <v>39</v>
      </c>
      <c r="I20" s="4">
        <v>1</v>
      </c>
    </row>
    <row r="21" spans="1:9" x14ac:dyDescent="0.25">
      <c r="A21" s="3" t="s">
        <v>165</v>
      </c>
      <c r="B21" s="3" t="s">
        <v>4</v>
      </c>
      <c r="C21" s="3" t="s">
        <v>145</v>
      </c>
      <c r="D21" s="3" t="s">
        <v>146</v>
      </c>
      <c r="E21" s="3" t="s">
        <v>63</v>
      </c>
      <c r="F21" s="3" t="s">
        <v>166</v>
      </c>
      <c r="G21" s="3" t="s">
        <v>4</v>
      </c>
      <c r="H21" s="3" t="s">
        <v>65</v>
      </c>
      <c r="I21" s="4">
        <v>1</v>
      </c>
    </row>
    <row r="22" spans="1:9" x14ac:dyDescent="0.25">
      <c r="A22" s="3" t="s">
        <v>197</v>
      </c>
      <c r="B22" s="3" t="s">
        <v>7</v>
      </c>
      <c r="C22" s="3" t="s">
        <v>198</v>
      </c>
      <c r="D22" s="3" t="s">
        <v>153</v>
      </c>
      <c r="E22" s="3" t="s">
        <v>85</v>
      </c>
      <c r="F22" s="3" t="s">
        <v>199</v>
      </c>
      <c r="G22" s="3" t="s">
        <v>7</v>
      </c>
      <c r="H22" s="3" t="s">
        <v>87</v>
      </c>
      <c r="I22" s="4">
        <v>2</v>
      </c>
    </row>
    <row r="23" spans="1:9" x14ac:dyDescent="0.25">
      <c r="A23" s="3" t="s">
        <v>197</v>
      </c>
      <c r="B23" s="3" t="s">
        <v>7</v>
      </c>
      <c r="C23" s="3" t="s">
        <v>198</v>
      </c>
      <c r="D23" s="3" t="s">
        <v>153</v>
      </c>
      <c r="E23" s="3" t="s">
        <v>125</v>
      </c>
      <c r="F23" s="3" t="s">
        <v>199</v>
      </c>
      <c r="G23" s="3" t="s">
        <v>7</v>
      </c>
      <c r="H23" s="3" t="s">
        <v>126</v>
      </c>
      <c r="I23" s="4">
        <v>2</v>
      </c>
    </row>
    <row r="24" spans="1:9" x14ac:dyDescent="0.25">
      <c r="A24" s="3" t="s">
        <v>197</v>
      </c>
      <c r="B24" s="3" t="s">
        <v>4</v>
      </c>
      <c r="C24" s="3" t="s">
        <v>198</v>
      </c>
      <c r="D24" s="3" t="s">
        <v>153</v>
      </c>
      <c r="E24" s="3" t="s">
        <v>78</v>
      </c>
      <c r="F24" s="3" t="s">
        <v>199</v>
      </c>
      <c r="G24" s="3" t="s">
        <v>4</v>
      </c>
      <c r="H24" s="3" t="s">
        <v>79</v>
      </c>
      <c r="I24" s="4">
        <v>1</v>
      </c>
    </row>
    <row r="25" spans="1:9" x14ac:dyDescent="0.25">
      <c r="A25" s="3" t="s">
        <v>197</v>
      </c>
      <c r="B25" s="3" t="s">
        <v>4</v>
      </c>
      <c r="C25" s="3" t="s">
        <v>198</v>
      </c>
      <c r="D25" s="3" t="s">
        <v>153</v>
      </c>
      <c r="E25" s="3" t="s">
        <v>81</v>
      </c>
      <c r="F25" s="3" t="s">
        <v>199</v>
      </c>
      <c r="G25" s="3" t="s">
        <v>4</v>
      </c>
      <c r="H25" s="3" t="s">
        <v>83</v>
      </c>
      <c r="I25" s="4">
        <v>1</v>
      </c>
    </row>
    <row r="26" spans="1:9" x14ac:dyDescent="0.25">
      <c r="A26" s="3" t="s">
        <v>197</v>
      </c>
      <c r="B26" s="3" t="s">
        <v>4</v>
      </c>
      <c r="C26" s="3" t="s">
        <v>198</v>
      </c>
      <c r="D26" s="3" t="s">
        <v>153</v>
      </c>
      <c r="E26" s="3" t="s">
        <v>114</v>
      </c>
      <c r="F26" s="3" t="s">
        <v>199</v>
      </c>
      <c r="G26" s="3" t="s">
        <v>4</v>
      </c>
      <c r="H26" s="3" t="s">
        <v>116</v>
      </c>
      <c r="I26" s="4">
        <v>1</v>
      </c>
    </row>
    <row r="27" spans="1:9" x14ac:dyDescent="0.25">
      <c r="A27" s="3" t="s">
        <v>197</v>
      </c>
      <c r="B27" s="3" t="s">
        <v>4</v>
      </c>
      <c r="C27" s="3" t="s">
        <v>198</v>
      </c>
      <c r="D27" s="3" t="s">
        <v>153</v>
      </c>
      <c r="E27" s="3" t="s">
        <v>53</v>
      </c>
      <c r="F27" s="3" t="s">
        <v>199</v>
      </c>
      <c r="G27" s="3" t="s">
        <v>4</v>
      </c>
      <c r="H27" s="3" t="s">
        <v>55</v>
      </c>
      <c r="I27" s="4">
        <v>1</v>
      </c>
    </row>
    <row r="28" spans="1:9" x14ac:dyDescent="0.25">
      <c r="A28" s="3" t="s">
        <v>74</v>
      </c>
      <c r="B28" s="3" t="s">
        <v>272</v>
      </c>
      <c r="C28" s="3" t="s">
        <v>35</v>
      </c>
      <c r="D28" s="3" t="s">
        <v>36</v>
      </c>
      <c r="E28" s="3" t="s">
        <v>268</v>
      </c>
      <c r="F28" s="3" t="s">
        <v>76</v>
      </c>
      <c r="G28" s="3" t="s">
        <v>273</v>
      </c>
      <c r="H28" s="3" t="s">
        <v>269</v>
      </c>
      <c r="I28" s="4">
        <v>4</v>
      </c>
    </row>
    <row r="29" spans="1:9" x14ac:dyDescent="0.25">
      <c r="A29" s="3" t="s">
        <v>74</v>
      </c>
      <c r="B29" s="3" t="s">
        <v>271</v>
      </c>
      <c r="C29" s="3" t="s">
        <v>35</v>
      </c>
      <c r="D29" s="3" t="s">
        <v>36</v>
      </c>
      <c r="E29" s="3" t="s">
        <v>141</v>
      </c>
      <c r="F29" s="3" t="s">
        <v>76</v>
      </c>
      <c r="G29" s="3" t="s">
        <v>273</v>
      </c>
      <c r="H29" s="3" t="s">
        <v>142</v>
      </c>
      <c r="I29" s="4">
        <v>4</v>
      </c>
    </row>
    <row r="30" spans="1:9" x14ac:dyDescent="0.25">
      <c r="A30" s="3" t="s">
        <v>74</v>
      </c>
      <c r="B30" s="3" t="s">
        <v>4</v>
      </c>
      <c r="C30" s="3" t="s">
        <v>35</v>
      </c>
      <c r="D30" s="3" t="s">
        <v>36</v>
      </c>
      <c r="E30" s="3" t="s">
        <v>75</v>
      </c>
      <c r="F30" s="3" t="s">
        <v>76</v>
      </c>
      <c r="G30" s="3" t="s">
        <v>4</v>
      </c>
      <c r="H30" s="3" t="s">
        <v>77</v>
      </c>
      <c r="I30" s="4">
        <v>1</v>
      </c>
    </row>
    <row r="31" spans="1:9" x14ac:dyDescent="0.25">
      <c r="A31" s="3" t="s">
        <v>74</v>
      </c>
      <c r="B31" s="3" t="s">
        <v>4</v>
      </c>
      <c r="C31" s="3" t="s">
        <v>35</v>
      </c>
      <c r="D31" s="3" t="s">
        <v>36</v>
      </c>
      <c r="E31" s="3" t="s">
        <v>60</v>
      </c>
      <c r="F31" s="3" t="s">
        <v>76</v>
      </c>
      <c r="G31" s="3" t="s">
        <v>4</v>
      </c>
      <c r="H31" s="3" t="s">
        <v>61</v>
      </c>
      <c r="I31" s="4">
        <v>1</v>
      </c>
    </row>
    <row r="32" spans="1:9" x14ac:dyDescent="0.25">
      <c r="A32" s="3" t="s">
        <v>74</v>
      </c>
      <c r="B32" s="3" t="s">
        <v>4</v>
      </c>
      <c r="C32" s="3" t="s">
        <v>35</v>
      </c>
      <c r="D32" s="3" t="s">
        <v>36</v>
      </c>
      <c r="E32" s="3" t="s">
        <v>63</v>
      </c>
      <c r="F32" s="3" t="s">
        <v>76</v>
      </c>
      <c r="G32" s="3" t="s">
        <v>4</v>
      </c>
      <c r="H32" s="3" t="s">
        <v>65</v>
      </c>
      <c r="I32" s="4">
        <v>1</v>
      </c>
    </row>
    <row r="33" spans="1:9" x14ac:dyDescent="0.25">
      <c r="A33" s="3" t="s">
        <v>74</v>
      </c>
      <c r="B33" s="3" t="s">
        <v>4</v>
      </c>
      <c r="C33" s="3" t="s">
        <v>35</v>
      </c>
      <c r="D33" s="3" t="s">
        <v>36</v>
      </c>
      <c r="E33" s="3" t="s">
        <v>37</v>
      </c>
      <c r="F33" s="3" t="s">
        <v>76</v>
      </c>
      <c r="G33" s="3" t="s">
        <v>4</v>
      </c>
      <c r="H33" s="3" t="s">
        <v>39</v>
      </c>
      <c r="I33" s="4">
        <v>1</v>
      </c>
    </row>
    <row r="34" spans="1:9" x14ac:dyDescent="0.25">
      <c r="A34" s="3" t="s">
        <v>74</v>
      </c>
      <c r="B34" s="3" t="s">
        <v>4</v>
      </c>
      <c r="C34" s="3" t="s">
        <v>35</v>
      </c>
      <c r="D34" s="3" t="s">
        <v>36</v>
      </c>
      <c r="E34" s="3" t="s">
        <v>107</v>
      </c>
      <c r="F34" s="3" t="s">
        <v>76</v>
      </c>
      <c r="G34" s="3" t="s">
        <v>4</v>
      </c>
      <c r="H34" s="3" t="s">
        <v>108</v>
      </c>
      <c r="I34" s="4">
        <v>1</v>
      </c>
    </row>
    <row r="35" spans="1:9" x14ac:dyDescent="0.25">
      <c r="A35" s="3" t="s">
        <v>70</v>
      </c>
      <c r="B35" s="3" t="s">
        <v>272</v>
      </c>
      <c r="C35" s="3" t="s">
        <v>35</v>
      </c>
      <c r="D35" s="3" t="s">
        <v>36</v>
      </c>
      <c r="E35" s="3" t="s">
        <v>81</v>
      </c>
      <c r="F35" s="3" t="s">
        <v>71</v>
      </c>
      <c r="G35" s="3" t="s">
        <v>273</v>
      </c>
      <c r="H35" s="3" t="s">
        <v>83</v>
      </c>
      <c r="I35" s="4">
        <v>4</v>
      </c>
    </row>
    <row r="36" spans="1:9" x14ac:dyDescent="0.25">
      <c r="A36" s="3" t="s">
        <v>70</v>
      </c>
      <c r="B36" s="3" t="s">
        <v>271</v>
      </c>
      <c r="C36" s="3" t="s">
        <v>35</v>
      </c>
      <c r="D36" s="3" t="s">
        <v>36</v>
      </c>
      <c r="E36" s="3" t="s">
        <v>72</v>
      </c>
      <c r="F36" s="3" t="s">
        <v>71</v>
      </c>
      <c r="G36" s="3" t="s">
        <v>273</v>
      </c>
      <c r="H36" s="3" t="s">
        <v>73</v>
      </c>
      <c r="I36" s="4">
        <v>4</v>
      </c>
    </row>
    <row r="37" spans="1:9" x14ac:dyDescent="0.25">
      <c r="A37" s="3" t="s">
        <v>70</v>
      </c>
      <c r="B37" s="3" t="s">
        <v>263</v>
      </c>
      <c r="C37" s="3" t="s">
        <v>35</v>
      </c>
      <c r="D37" s="3" t="s">
        <v>36</v>
      </c>
      <c r="E37" s="3" t="s">
        <v>114</v>
      </c>
      <c r="F37" s="3" t="s">
        <v>71</v>
      </c>
      <c r="G37" s="3" t="s">
        <v>263</v>
      </c>
      <c r="H37" s="3" t="s">
        <v>116</v>
      </c>
      <c r="I37" s="4">
        <v>3</v>
      </c>
    </row>
    <row r="38" spans="1:9" x14ac:dyDescent="0.25">
      <c r="A38" s="3" t="s">
        <v>70</v>
      </c>
      <c r="B38" s="3" t="s">
        <v>7</v>
      </c>
      <c r="C38" s="3" t="s">
        <v>35</v>
      </c>
      <c r="D38" s="3" t="s">
        <v>36</v>
      </c>
      <c r="E38" s="3" t="s">
        <v>109</v>
      </c>
      <c r="F38" s="3" t="s">
        <v>71</v>
      </c>
      <c r="G38" s="3" t="s">
        <v>7</v>
      </c>
      <c r="H38" s="3" t="s">
        <v>110</v>
      </c>
      <c r="I38" s="4">
        <v>2</v>
      </c>
    </row>
    <row r="39" spans="1:9" x14ac:dyDescent="0.25">
      <c r="A39" s="3" t="s">
        <v>70</v>
      </c>
      <c r="B39" s="3" t="s">
        <v>7</v>
      </c>
      <c r="C39" s="3" t="s">
        <v>35</v>
      </c>
      <c r="D39" s="3" t="s">
        <v>36</v>
      </c>
      <c r="E39" s="3" t="s">
        <v>98</v>
      </c>
      <c r="F39" s="3" t="s">
        <v>71</v>
      </c>
      <c r="G39" s="3" t="s">
        <v>7</v>
      </c>
      <c r="H39" s="3" t="s">
        <v>100</v>
      </c>
      <c r="I39" s="4">
        <v>2</v>
      </c>
    </row>
    <row r="40" spans="1:9" x14ac:dyDescent="0.25">
      <c r="A40" s="3" t="s">
        <v>70</v>
      </c>
      <c r="B40" s="3" t="s">
        <v>7</v>
      </c>
      <c r="C40" s="3" t="s">
        <v>35</v>
      </c>
      <c r="D40" s="3" t="s">
        <v>36</v>
      </c>
      <c r="E40" s="3" t="s">
        <v>107</v>
      </c>
      <c r="F40" s="3" t="s">
        <v>71</v>
      </c>
      <c r="G40" s="3" t="s">
        <v>7</v>
      </c>
      <c r="H40" s="3" t="s">
        <v>108</v>
      </c>
      <c r="I40" s="4">
        <v>2</v>
      </c>
    </row>
    <row r="41" spans="1:9" x14ac:dyDescent="0.25">
      <c r="A41" s="3" t="s">
        <v>70</v>
      </c>
      <c r="B41" s="3" t="s">
        <v>7</v>
      </c>
      <c r="C41" s="3" t="s">
        <v>35</v>
      </c>
      <c r="D41" s="3" t="s">
        <v>36</v>
      </c>
      <c r="E41" s="3" t="s">
        <v>141</v>
      </c>
      <c r="F41" s="3" t="s">
        <v>71</v>
      </c>
      <c r="G41" s="3" t="s">
        <v>7</v>
      </c>
      <c r="H41" s="3" t="s">
        <v>142</v>
      </c>
      <c r="I41" s="4">
        <v>2</v>
      </c>
    </row>
    <row r="42" spans="1:9" x14ac:dyDescent="0.25">
      <c r="A42" s="3" t="s">
        <v>70</v>
      </c>
      <c r="B42" s="3" t="s">
        <v>7</v>
      </c>
      <c r="C42" s="3" t="s">
        <v>35</v>
      </c>
      <c r="D42" s="3" t="s">
        <v>36</v>
      </c>
      <c r="E42" s="3" t="s">
        <v>143</v>
      </c>
      <c r="F42" s="3" t="s">
        <v>71</v>
      </c>
      <c r="G42" s="3" t="s">
        <v>7</v>
      </c>
      <c r="H42" s="3" t="s">
        <v>144</v>
      </c>
      <c r="I42" s="4">
        <v>2</v>
      </c>
    </row>
    <row r="43" spans="1:9" x14ac:dyDescent="0.25">
      <c r="A43" s="3" t="s">
        <v>70</v>
      </c>
      <c r="B43" s="3" t="s">
        <v>4</v>
      </c>
      <c r="C43" s="3" t="s">
        <v>35</v>
      </c>
      <c r="D43" s="3" t="s">
        <v>36</v>
      </c>
      <c r="E43" s="3" t="s">
        <v>63</v>
      </c>
      <c r="F43" s="3" t="s">
        <v>71</v>
      </c>
      <c r="G43" s="3" t="s">
        <v>4</v>
      </c>
      <c r="H43" s="3" t="s">
        <v>65</v>
      </c>
      <c r="I43" s="4">
        <v>1</v>
      </c>
    </row>
    <row r="44" spans="1:9" x14ac:dyDescent="0.25">
      <c r="A44" s="3" t="s">
        <v>70</v>
      </c>
      <c r="B44" s="3" t="s">
        <v>4</v>
      </c>
      <c r="C44" s="3" t="s">
        <v>35</v>
      </c>
      <c r="D44" s="3" t="s">
        <v>36</v>
      </c>
      <c r="E44" s="3" t="s">
        <v>75</v>
      </c>
      <c r="F44" s="3" t="s">
        <v>71</v>
      </c>
      <c r="G44" s="3" t="s">
        <v>4</v>
      </c>
      <c r="H44" s="3" t="s">
        <v>77</v>
      </c>
      <c r="I44" s="4">
        <v>1</v>
      </c>
    </row>
    <row r="45" spans="1:9" x14ac:dyDescent="0.25">
      <c r="A45" s="3" t="s">
        <v>70</v>
      </c>
      <c r="B45" s="3" t="s">
        <v>4</v>
      </c>
      <c r="C45" s="3" t="s">
        <v>35</v>
      </c>
      <c r="D45" s="3" t="s">
        <v>36</v>
      </c>
      <c r="E45" s="3" t="s">
        <v>85</v>
      </c>
      <c r="F45" s="3" t="s">
        <v>71</v>
      </c>
      <c r="G45" s="3" t="s">
        <v>4</v>
      </c>
      <c r="H45" s="3" t="s">
        <v>87</v>
      </c>
      <c r="I45" s="4">
        <v>1</v>
      </c>
    </row>
    <row r="46" spans="1:9" x14ac:dyDescent="0.25">
      <c r="A46" s="3" t="s">
        <v>70</v>
      </c>
      <c r="B46" s="3" t="s">
        <v>4</v>
      </c>
      <c r="C46" s="3" t="s">
        <v>35</v>
      </c>
      <c r="D46" s="3" t="s">
        <v>36</v>
      </c>
      <c r="E46" s="3" t="s">
        <v>268</v>
      </c>
      <c r="F46" s="3" t="s">
        <v>71</v>
      </c>
      <c r="G46" s="3" t="s">
        <v>4</v>
      </c>
      <c r="H46" s="3" t="s">
        <v>269</v>
      </c>
      <c r="I46" s="4">
        <v>1</v>
      </c>
    </row>
    <row r="47" spans="1:9" x14ac:dyDescent="0.25">
      <c r="A47" s="3" t="s">
        <v>70</v>
      </c>
      <c r="B47" s="3" t="s">
        <v>4</v>
      </c>
      <c r="C47" s="3" t="s">
        <v>35</v>
      </c>
      <c r="D47" s="3" t="s">
        <v>36</v>
      </c>
      <c r="E47" s="3" t="s">
        <v>47</v>
      </c>
      <c r="F47" s="3" t="s">
        <v>71</v>
      </c>
      <c r="G47" s="3" t="s">
        <v>4</v>
      </c>
      <c r="H47" s="3" t="s">
        <v>49</v>
      </c>
      <c r="I47" s="4">
        <v>1</v>
      </c>
    </row>
    <row r="48" spans="1:9" x14ac:dyDescent="0.25">
      <c r="A48" s="3" t="s">
        <v>70</v>
      </c>
      <c r="B48" s="3" t="s">
        <v>4</v>
      </c>
      <c r="C48" s="3" t="s">
        <v>35</v>
      </c>
      <c r="D48" s="3" t="s">
        <v>36</v>
      </c>
      <c r="E48" s="3" t="s">
        <v>119</v>
      </c>
      <c r="F48" s="3" t="s">
        <v>71</v>
      </c>
      <c r="G48" s="3" t="s">
        <v>4</v>
      </c>
      <c r="H48" s="3" t="s">
        <v>120</v>
      </c>
      <c r="I48" s="4">
        <v>1</v>
      </c>
    </row>
    <row r="49" spans="1:9" x14ac:dyDescent="0.25">
      <c r="A49" s="3" t="s">
        <v>50</v>
      </c>
      <c r="B49" s="3" t="s">
        <v>271</v>
      </c>
      <c r="C49" s="3" t="s">
        <v>35</v>
      </c>
      <c r="D49" s="3" t="s">
        <v>36</v>
      </c>
      <c r="E49" s="3" t="s">
        <v>98</v>
      </c>
      <c r="F49" s="3" t="s">
        <v>51</v>
      </c>
      <c r="G49" s="3" t="s">
        <v>273</v>
      </c>
      <c r="H49" s="3" t="s">
        <v>100</v>
      </c>
      <c r="I49" s="4">
        <v>4</v>
      </c>
    </row>
    <row r="50" spans="1:9" x14ac:dyDescent="0.25">
      <c r="A50" s="3" t="s">
        <v>50</v>
      </c>
      <c r="B50" s="3" t="s">
        <v>7</v>
      </c>
      <c r="C50" s="3" t="s">
        <v>35</v>
      </c>
      <c r="D50" s="3" t="s">
        <v>36</v>
      </c>
      <c r="E50" s="3" t="s">
        <v>72</v>
      </c>
      <c r="F50" s="3" t="s">
        <v>51</v>
      </c>
      <c r="G50" s="3" t="s">
        <v>7</v>
      </c>
      <c r="H50" s="3" t="s">
        <v>73</v>
      </c>
      <c r="I50" s="4">
        <v>2</v>
      </c>
    </row>
    <row r="51" spans="1:9" x14ac:dyDescent="0.25">
      <c r="A51" s="3" t="s">
        <v>50</v>
      </c>
      <c r="B51" s="3" t="s">
        <v>4</v>
      </c>
      <c r="C51" s="3" t="s">
        <v>35</v>
      </c>
      <c r="D51" s="3" t="s">
        <v>36</v>
      </c>
      <c r="E51" s="3" t="s">
        <v>47</v>
      </c>
      <c r="F51" s="3" t="s">
        <v>51</v>
      </c>
      <c r="G51" s="3" t="s">
        <v>4</v>
      </c>
      <c r="H51" s="3" t="s">
        <v>49</v>
      </c>
      <c r="I51" s="4">
        <v>1</v>
      </c>
    </row>
    <row r="52" spans="1:9" x14ac:dyDescent="0.25">
      <c r="A52" s="3" t="s">
        <v>50</v>
      </c>
      <c r="B52" s="3" t="s">
        <v>4</v>
      </c>
      <c r="C52" s="3" t="s">
        <v>35</v>
      </c>
      <c r="D52" s="3" t="s">
        <v>36</v>
      </c>
      <c r="E52" s="3" t="s">
        <v>53</v>
      </c>
      <c r="F52" s="3" t="s">
        <v>51</v>
      </c>
      <c r="G52" s="3" t="s">
        <v>4</v>
      </c>
      <c r="H52" s="3" t="s">
        <v>55</v>
      </c>
      <c r="I52" s="4">
        <v>1</v>
      </c>
    </row>
    <row r="53" spans="1:9" x14ac:dyDescent="0.25">
      <c r="A53" s="3" t="s">
        <v>50</v>
      </c>
      <c r="B53" s="3" t="s">
        <v>4</v>
      </c>
      <c r="C53" s="3" t="s">
        <v>35</v>
      </c>
      <c r="D53" s="3" t="s">
        <v>36</v>
      </c>
      <c r="E53" s="3" t="s">
        <v>89</v>
      </c>
      <c r="F53" s="3" t="s">
        <v>51</v>
      </c>
      <c r="G53" s="3" t="s">
        <v>4</v>
      </c>
      <c r="H53" s="3" t="s">
        <v>90</v>
      </c>
      <c r="I53" s="4">
        <v>1</v>
      </c>
    </row>
    <row r="54" spans="1:9" x14ac:dyDescent="0.25">
      <c r="A54" s="3" t="s">
        <v>50</v>
      </c>
      <c r="B54" s="3" t="s">
        <v>4</v>
      </c>
      <c r="C54" s="3" t="s">
        <v>35</v>
      </c>
      <c r="D54" s="3" t="s">
        <v>36</v>
      </c>
      <c r="E54" s="3" t="s">
        <v>43</v>
      </c>
      <c r="F54" s="3" t="s">
        <v>51</v>
      </c>
      <c r="G54" s="3" t="s">
        <v>4</v>
      </c>
      <c r="H54" s="3" t="s">
        <v>45</v>
      </c>
      <c r="I54" s="4">
        <v>1</v>
      </c>
    </row>
    <row r="55" spans="1:9" x14ac:dyDescent="0.25">
      <c r="A55" s="3" t="s">
        <v>50</v>
      </c>
      <c r="B55" s="3" t="s">
        <v>4</v>
      </c>
      <c r="C55" s="3" t="s">
        <v>35</v>
      </c>
      <c r="D55" s="3" t="s">
        <v>36</v>
      </c>
      <c r="E55" s="3" t="s">
        <v>75</v>
      </c>
      <c r="F55" s="3" t="s">
        <v>51</v>
      </c>
      <c r="G55" s="3" t="s">
        <v>4</v>
      </c>
      <c r="H55" s="3" t="s">
        <v>77</v>
      </c>
      <c r="I55" s="4">
        <v>1</v>
      </c>
    </row>
    <row r="56" spans="1:9" x14ac:dyDescent="0.25">
      <c r="A56" s="3" t="s">
        <v>117</v>
      </c>
      <c r="B56" s="3" t="s">
        <v>4</v>
      </c>
      <c r="C56" s="3" t="s">
        <v>35</v>
      </c>
      <c r="D56" s="3" t="s">
        <v>36</v>
      </c>
      <c r="E56" s="3" t="s">
        <v>114</v>
      </c>
      <c r="F56" s="3" t="s">
        <v>118</v>
      </c>
      <c r="G56" s="3" t="s">
        <v>4</v>
      </c>
      <c r="H56" s="3" t="s">
        <v>116</v>
      </c>
      <c r="I56" s="4">
        <v>1</v>
      </c>
    </row>
    <row r="57" spans="1:9" x14ac:dyDescent="0.25">
      <c r="A57" s="3" t="s">
        <v>239</v>
      </c>
      <c r="B57" s="3" t="s">
        <v>4</v>
      </c>
      <c r="C57" s="3" t="s">
        <v>145</v>
      </c>
      <c r="D57" s="3" t="s">
        <v>146</v>
      </c>
      <c r="E57" s="3" t="s">
        <v>98</v>
      </c>
      <c r="F57" s="3" t="s">
        <v>240</v>
      </c>
      <c r="G57" s="3" t="s">
        <v>4</v>
      </c>
      <c r="H57" s="3" t="s">
        <v>100</v>
      </c>
      <c r="I57" s="4">
        <v>1</v>
      </c>
    </row>
    <row r="58" spans="1:9" x14ac:dyDescent="0.25">
      <c r="A58" s="3" t="s">
        <v>239</v>
      </c>
      <c r="B58" s="3" t="s">
        <v>4</v>
      </c>
      <c r="C58" s="3" t="s">
        <v>145</v>
      </c>
      <c r="D58" s="3" t="s">
        <v>146</v>
      </c>
      <c r="E58" s="3" t="s">
        <v>119</v>
      </c>
      <c r="F58" s="3" t="s">
        <v>240</v>
      </c>
      <c r="G58" s="3" t="s">
        <v>4</v>
      </c>
      <c r="H58" s="3" t="s">
        <v>120</v>
      </c>
      <c r="I58" s="4">
        <v>1</v>
      </c>
    </row>
    <row r="59" spans="1:9" x14ac:dyDescent="0.25">
      <c r="A59" s="3" t="s">
        <v>239</v>
      </c>
      <c r="B59" s="3" t="s">
        <v>4</v>
      </c>
      <c r="C59" s="3" t="s">
        <v>145</v>
      </c>
      <c r="D59" s="3" t="s">
        <v>146</v>
      </c>
      <c r="E59" s="3" t="s">
        <v>266</v>
      </c>
      <c r="F59" s="3" t="s">
        <v>240</v>
      </c>
      <c r="G59" s="3" t="s">
        <v>4</v>
      </c>
      <c r="H59" s="3" t="s">
        <v>267</v>
      </c>
      <c r="I59" s="4">
        <v>1</v>
      </c>
    </row>
    <row r="60" spans="1:9" x14ac:dyDescent="0.25">
      <c r="A60" s="3" t="s">
        <v>25</v>
      </c>
      <c r="B60" s="3" t="s">
        <v>19</v>
      </c>
      <c r="C60" s="3" t="s">
        <v>145</v>
      </c>
      <c r="D60" s="3" t="s">
        <v>146</v>
      </c>
      <c r="E60" s="3" t="s">
        <v>98</v>
      </c>
      <c r="F60" s="3" t="s">
        <v>147</v>
      </c>
      <c r="G60" s="3" t="s">
        <v>19</v>
      </c>
      <c r="H60" s="3" t="s">
        <v>100</v>
      </c>
      <c r="I60" s="4">
        <v>6</v>
      </c>
    </row>
    <row r="61" spans="1:9" x14ac:dyDescent="0.25">
      <c r="A61" s="3" t="s">
        <v>25</v>
      </c>
      <c r="B61" s="3" t="s">
        <v>19</v>
      </c>
      <c r="C61" s="3" t="s">
        <v>145</v>
      </c>
      <c r="D61" s="3" t="s">
        <v>146</v>
      </c>
      <c r="E61" s="3" t="s">
        <v>47</v>
      </c>
      <c r="F61" s="3" t="s">
        <v>147</v>
      </c>
      <c r="G61" s="3" t="s">
        <v>19</v>
      </c>
      <c r="H61" s="3" t="s">
        <v>49</v>
      </c>
      <c r="I61" s="4">
        <v>6</v>
      </c>
    </row>
    <row r="62" spans="1:9" x14ac:dyDescent="0.25">
      <c r="A62" s="3" t="s">
        <v>25</v>
      </c>
      <c r="B62" s="3" t="s">
        <v>19</v>
      </c>
      <c r="C62" s="3" t="s">
        <v>145</v>
      </c>
      <c r="D62" s="3" t="s">
        <v>146</v>
      </c>
      <c r="E62" s="3" t="s">
        <v>37</v>
      </c>
      <c r="F62" s="3" t="s">
        <v>147</v>
      </c>
      <c r="G62" s="3" t="s">
        <v>19</v>
      </c>
      <c r="H62" s="3" t="s">
        <v>39</v>
      </c>
      <c r="I62" s="4">
        <v>6</v>
      </c>
    </row>
    <row r="63" spans="1:9" x14ac:dyDescent="0.25">
      <c r="A63" s="3" t="s">
        <v>25</v>
      </c>
      <c r="B63" s="3" t="s">
        <v>19</v>
      </c>
      <c r="C63" s="3" t="s">
        <v>145</v>
      </c>
      <c r="D63" s="3" t="s">
        <v>146</v>
      </c>
      <c r="E63" s="3" t="s">
        <v>89</v>
      </c>
      <c r="F63" s="3" t="s">
        <v>147</v>
      </c>
      <c r="G63" s="3" t="s">
        <v>19</v>
      </c>
      <c r="H63" s="3" t="s">
        <v>90</v>
      </c>
      <c r="I63" s="4">
        <v>6</v>
      </c>
    </row>
    <row r="64" spans="1:9" x14ac:dyDescent="0.25">
      <c r="A64" s="3" t="s">
        <v>25</v>
      </c>
      <c r="B64" s="3" t="s">
        <v>19</v>
      </c>
      <c r="C64" s="3" t="s">
        <v>145</v>
      </c>
      <c r="D64" s="3" t="s">
        <v>146</v>
      </c>
      <c r="E64" s="3" t="s">
        <v>109</v>
      </c>
      <c r="F64" s="3" t="s">
        <v>147</v>
      </c>
      <c r="G64" s="3" t="s">
        <v>19</v>
      </c>
      <c r="H64" s="3" t="s">
        <v>110</v>
      </c>
      <c r="I64" s="4">
        <v>6</v>
      </c>
    </row>
    <row r="65" spans="1:9" x14ac:dyDescent="0.25">
      <c r="A65" s="3" t="s">
        <v>25</v>
      </c>
      <c r="B65" s="3" t="s">
        <v>270</v>
      </c>
      <c r="C65" s="3" t="s">
        <v>145</v>
      </c>
      <c r="D65" s="3" t="s">
        <v>146</v>
      </c>
      <c r="E65" s="3" t="s">
        <v>75</v>
      </c>
      <c r="F65" s="3" t="s">
        <v>147</v>
      </c>
      <c r="G65" s="3" t="s">
        <v>16</v>
      </c>
      <c r="H65" s="3" t="s">
        <v>77</v>
      </c>
      <c r="I65" s="4">
        <v>5</v>
      </c>
    </row>
    <row r="66" spans="1:9" x14ac:dyDescent="0.25">
      <c r="A66" s="3" t="s">
        <v>25</v>
      </c>
      <c r="B66" s="3" t="s">
        <v>272</v>
      </c>
      <c r="C66" s="3" t="s">
        <v>145</v>
      </c>
      <c r="D66" s="3" t="s">
        <v>146</v>
      </c>
      <c r="E66" s="3" t="s">
        <v>60</v>
      </c>
      <c r="F66" s="3" t="s">
        <v>147</v>
      </c>
      <c r="G66" s="3" t="s">
        <v>273</v>
      </c>
      <c r="H66" s="3" t="s">
        <v>61</v>
      </c>
      <c r="I66" s="4">
        <v>4</v>
      </c>
    </row>
    <row r="67" spans="1:9" x14ac:dyDescent="0.25">
      <c r="A67" s="3" t="s">
        <v>25</v>
      </c>
      <c r="B67" s="3" t="s">
        <v>271</v>
      </c>
      <c r="C67" s="3" t="s">
        <v>145</v>
      </c>
      <c r="D67" s="3" t="s">
        <v>146</v>
      </c>
      <c r="E67" s="3" t="s">
        <v>53</v>
      </c>
      <c r="F67" s="3" t="s">
        <v>147</v>
      </c>
      <c r="G67" s="3" t="s">
        <v>273</v>
      </c>
      <c r="H67" s="3" t="s">
        <v>55</v>
      </c>
      <c r="I67" s="4">
        <v>4</v>
      </c>
    </row>
    <row r="68" spans="1:9" x14ac:dyDescent="0.25">
      <c r="A68" s="3" t="s">
        <v>25</v>
      </c>
      <c r="B68" s="3" t="s">
        <v>271</v>
      </c>
      <c r="C68" s="3" t="s">
        <v>145</v>
      </c>
      <c r="D68" s="3" t="s">
        <v>146</v>
      </c>
      <c r="E68" s="3" t="s">
        <v>114</v>
      </c>
      <c r="F68" s="3" t="s">
        <v>147</v>
      </c>
      <c r="G68" s="3" t="s">
        <v>273</v>
      </c>
      <c r="H68" s="3" t="s">
        <v>116</v>
      </c>
      <c r="I68" s="4">
        <v>4</v>
      </c>
    </row>
    <row r="69" spans="1:9" x14ac:dyDescent="0.25">
      <c r="A69" s="3" t="s">
        <v>25</v>
      </c>
      <c r="B69" s="3" t="s">
        <v>272</v>
      </c>
      <c r="C69" s="3" t="s">
        <v>145</v>
      </c>
      <c r="D69" s="3" t="s">
        <v>146</v>
      </c>
      <c r="E69" s="3" t="s">
        <v>143</v>
      </c>
      <c r="F69" s="3" t="s">
        <v>147</v>
      </c>
      <c r="G69" s="3" t="s">
        <v>273</v>
      </c>
      <c r="H69" s="3" t="s">
        <v>144</v>
      </c>
      <c r="I69" s="4">
        <v>4</v>
      </c>
    </row>
    <row r="70" spans="1:9" x14ac:dyDescent="0.25">
      <c r="A70" s="3" t="s">
        <v>25</v>
      </c>
      <c r="B70" s="3" t="s">
        <v>263</v>
      </c>
      <c r="C70" s="3" t="s">
        <v>145</v>
      </c>
      <c r="D70" s="3" t="s">
        <v>146</v>
      </c>
      <c r="E70" s="3" t="s">
        <v>268</v>
      </c>
      <c r="F70" s="3" t="s">
        <v>147</v>
      </c>
      <c r="G70" s="3" t="s">
        <v>263</v>
      </c>
      <c r="H70" s="3" t="s">
        <v>269</v>
      </c>
      <c r="I70" s="4">
        <v>3</v>
      </c>
    </row>
    <row r="71" spans="1:9" x14ac:dyDescent="0.25">
      <c r="A71" s="3" t="s">
        <v>25</v>
      </c>
      <c r="B71" s="3" t="s">
        <v>263</v>
      </c>
      <c r="C71" s="3" t="s">
        <v>145</v>
      </c>
      <c r="D71" s="3" t="s">
        <v>146</v>
      </c>
      <c r="E71" s="3" t="s">
        <v>81</v>
      </c>
      <c r="F71" s="3" t="s">
        <v>147</v>
      </c>
      <c r="G71" s="3" t="s">
        <v>263</v>
      </c>
      <c r="H71" s="3" t="s">
        <v>83</v>
      </c>
      <c r="I71" s="4">
        <v>3</v>
      </c>
    </row>
    <row r="72" spans="1:9" x14ac:dyDescent="0.25">
      <c r="A72" s="3" t="s">
        <v>25</v>
      </c>
      <c r="B72" s="3" t="s">
        <v>263</v>
      </c>
      <c r="C72" s="3" t="s">
        <v>145</v>
      </c>
      <c r="D72" s="3" t="s">
        <v>146</v>
      </c>
      <c r="E72" s="3" t="s">
        <v>72</v>
      </c>
      <c r="F72" s="3" t="s">
        <v>147</v>
      </c>
      <c r="G72" s="3" t="s">
        <v>263</v>
      </c>
      <c r="H72" s="3" t="s">
        <v>73</v>
      </c>
      <c r="I72" s="4">
        <v>3</v>
      </c>
    </row>
    <row r="73" spans="1:9" x14ac:dyDescent="0.25">
      <c r="A73" s="3" t="s">
        <v>25</v>
      </c>
      <c r="B73" s="3" t="s">
        <v>263</v>
      </c>
      <c r="C73" s="3" t="s">
        <v>145</v>
      </c>
      <c r="D73" s="3" t="s">
        <v>146</v>
      </c>
      <c r="E73" s="3" t="s">
        <v>125</v>
      </c>
      <c r="F73" s="3" t="s">
        <v>147</v>
      </c>
      <c r="G73" s="3" t="s">
        <v>263</v>
      </c>
      <c r="H73" s="3" t="s">
        <v>126</v>
      </c>
      <c r="I73" s="4">
        <v>3</v>
      </c>
    </row>
    <row r="74" spans="1:9" x14ac:dyDescent="0.25">
      <c r="A74" s="3" t="s">
        <v>25</v>
      </c>
      <c r="B74" s="3" t="s">
        <v>263</v>
      </c>
      <c r="C74" s="3" t="s">
        <v>145</v>
      </c>
      <c r="D74" s="3" t="s">
        <v>146</v>
      </c>
      <c r="E74" s="3" t="s">
        <v>85</v>
      </c>
      <c r="F74" s="3" t="s">
        <v>147</v>
      </c>
      <c r="G74" s="3" t="s">
        <v>263</v>
      </c>
      <c r="H74" s="3" t="s">
        <v>87</v>
      </c>
      <c r="I74" s="4">
        <v>3</v>
      </c>
    </row>
    <row r="75" spans="1:9" x14ac:dyDescent="0.25">
      <c r="A75" s="3" t="s">
        <v>25</v>
      </c>
      <c r="B75" s="3" t="s">
        <v>263</v>
      </c>
      <c r="C75" s="3" t="s">
        <v>145</v>
      </c>
      <c r="D75" s="3" t="s">
        <v>146</v>
      </c>
      <c r="E75" s="3" t="s">
        <v>78</v>
      </c>
      <c r="F75" s="3" t="s">
        <v>147</v>
      </c>
      <c r="G75" s="3" t="s">
        <v>263</v>
      </c>
      <c r="H75" s="3" t="s">
        <v>79</v>
      </c>
      <c r="I75" s="4">
        <v>3</v>
      </c>
    </row>
    <row r="76" spans="1:9" x14ac:dyDescent="0.25">
      <c r="A76" s="3" t="s">
        <v>25</v>
      </c>
      <c r="B76" s="3" t="s">
        <v>7</v>
      </c>
      <c r="C76" s="3" t="s">
        <v>145</v>
      </c>
      <c r="D76" s="3" t="s">
        <v>146</v>
      </c>
      <c r="E76" s="3" t="s">
        <v>107</v>
      </c>
      <c r="F76" s="3" t="s">
        <v>147</v>
      </c>
      <c r="G76" s="3" t="s">
        <v>7</v>
      </c>
      <c r="H76" s="3" t="s">
        <v>108</v>
      </c>
      <c r="I76" s="4">
        <v>2</v>
      </c>
    </row>
    <row r="77" spans="1:9" x14ac:dyDescent="0.25">
      <c r="A77" s="3" t="s">
        <v>25</v>
      </c>
      <c r="B77" s="3" t="s">
        <v>7</v>
      </c>
      <c r="C77" s="3" t="s">
        <v>145</v>
      </c>
      <c r="D77" s="3" t="s">
        <v>146</v>
      </c>
      <c r="E77" s="3" t="s">
        <v>141</v>
      </c>
      <c r="F77" s="3" t="s">
        <v>147</v>
      </c>
      <c r="G77" s="3" t="s">
        <v>7</v>
      </c>
      <c r="H77" s="3" t="s">
        <v>142</v>
      </c>
      <c r="I77" s="4">
        <v>2</v>
      </c>
    </row>
    <row r="78" spans="1:9" x14ac:dyDescent="0.25">
      <c r="A78" s="3" t="s">
        <v>25</v>
      </c>
      <c r="B78" s="3" t="s">
        <v>4</v>
      </c>
      <c r="C78" s="3" t="s">
        <v>145</v>
      </c>
      <c r="D78" s="3" t="s">
        <v>146</v>
      </c>
      <c r="E78" s="3" t="s">
        <v>119</v>
      </c>
      <c r="F78" s="3" t="s">
        <v>147</v>
      </c>
      <c r="G78" s="3" t="s">
        <v>4</v>
      </c>
      <c r="H78" s="3" t="s">
        <v>120</v>
      </c>
      <c r="I78" s="4">
        <v>1</v>
      </c>
    </row>
    <row r="79" spans="1:9" x14ac:dyDescent="0.25">
      <c r="A79" s="3" t="s">
        <v>25</v>
      </c>
      <c r="B79" s="3" t="s">
        <v>4</v>
      </c>
      <c r="C79" s="3" t="s">
        <v>145</v>
      </c>
      <c r="D79" s="3" t="s">
        <v>146</v>
      </c>
      <c r="E79" s="3" t="s">
        <v>43</v>
      </c>
      <c r="F79" s="3" t="s">
        <v>147</v>
      </c>
      <c r="G79" s="3" t="s">
        <v>4</v>
      </c>
      <c r="H79" s="3" t="s">
        <v>45</v>
      </c>
      <c r="I79" s="4">
        <v>1</v>
      </c>
    </row>
    <row r="80" spans="1:9" x14ac:dyDescent="0.25">
      <c r="A80" s="3" t="s">
        <v>25</v>
      </c>
      <c r="B80" s="3" t="s">
        <v>4</v>
      </c>
      <c r="C80" s="3" t="s">
        <v>145</v>
      </c>
      <c r="D80" s="3" t="s">
        <v>146</v>
      </c>
      <c r="E80" s="3" t="s">
        <v>266</v>
      </c>
      <c r="F80" s="3" t="s">
        <v>147</v>
      </c>
      <c r="G80" s="3" t="s">
        <v>4</v>
      </c>
      <c r="H80" s="3" t="s">
        <v>267</v>
      </c>
      <c r="I80" s="4">
        <v>1</v>
      </c>
    </row>
    <row r="81" spans="1:9" x14ac:dyDescent="0.25">
      <c r="A81" s="3" t="s">
        <v>25</v>
      </c>
      <c r="B81" s="3" t="s">
        <v>4</v>
      </c>
      <c r="C81" s="3" t="s">
        <v>145</v>
      </c>
      <c r="D81" s="3" t="s">
        <v>146</v>
      </c>
      <c r="E81" s="3" t="s">
        <v>63</v>
      </c>
      <c r="F81" s="3" t="s">
        <v>147</v>
      </c>
      <c r="G81" s="3" t="s">
        <v>4</v>
      </c>
      <c r="H81" s="3" t="s">
        <v>65</v>
      </c>
      <c r="I81" s="4">
        <v>1</v>
      </c>
    </row>
    <row r="82" spans="1:9" x14ac:dyDescent="0.25">
      <c r="A82" s="3" t="s">
        <v>251</v>
      </c>
      <c r="B82" s="3" t="s">
        <v>4</v>
      </c>
      <c r="C82" s="3" t="s">
        <v>170</v>
      </c>
      <c r="D82" s="3" t="s">
        <v>171</v>
      </c>
      <c r="E82" s="3" t="s">
        <v>85</v>
      </c>
      <c r="F82" s="3" t="s">
        <v>252</v>
      </c>
      <c r="G82" s="3" t="s">
        <v>4</v>
      </c>
      <c r="H82" s="3" t="s">
        <v>87</v>
      </c>
      <c r="I82" s="4">
        <v>1</v>
      </c>
    </row>
    <row r="83" spans="1:9" x14ac:dyDescent="0.25">
      <c r="A83" s="3" t="s">
        <v>251</v>
      </c>
      <c r="B83" s="3" t="s">
        <v>4</v>
      </c>
      <c r="C83" s="3" t="s">
        <v>170</v>
      </c>
      <c r="D83" s="3" t="s">
        <v>171</v>
      </c>
      <c r="E83" s="3" t="s">
        <v>72</v>
      </c>
      <c r="F83" s="3" t="s">
        <v>252</v>
      </c>
      <c r="G83" s="3" t="s">
        <v>4</v>
      </c>
      <c r="H83" s="3" t="s">
        <v>73</v>
      </c>
      <c r="I83" s="4">
        <v>1</v>
      </c>
    </row>
    <row r="84" spans="1:9" x14ac:dyDescent="0.25">
      <c r="A84" s="3" t="s">
        <v>103</v>
      </c>
      <c r="B84" s="3" t="s">
        <v>263</v>
      </c>
      <c r="C84" s="3" t="s">
        <v>35</v>
      </c>
      <c r="D84" s="3" t="s">
        <v>36</v>
      </c>
      <c r="E84" s="3" t="s">
        <v>268</v>
      </c>
      <c r="F84" s="3" t="s">
        <v>104</v>
      </c>
      <c r="G84" s="3" t="s">
        <v>263</v>
      </c>
      <c r="H84" s="3" t="s">
        <v>269</v>
      </c>
      <c r="I84" s="4">
        <v>3</v>
      </c>
    </row>
    <row r="85" spans="1:9" x14ac:dyDescent="0.25">
      <c r="A85" s="3" t="s">
        <v>103</v>
      </c>
      <c r="B85" s="3" t="s">
        <v>263</v>
      </c>
      <c r="C85" s="3" t="s">
        <v>35</v>
      </c>
      <c r="D85" s="3" t="s">
        <v>36</v>
      </c>
      <c r="E85" s="3" t="s">
        <v>141</v>
      </c>
      <c r="F85" s="3" t="s">
        <v>104</v>
      </c>
      <c r="G85" s="3" t="s">
        <v>263</v>
      </c>
      <c r="H85" s="3" t="s">
        <v>142</v>
      </c>
      <c r="I85" s="4">
        <v>3</v>
      </c>
    </row>
    <row r="86" spans="1:9" x14ac:dyDescent="0.25">
      <c r="A86" s="3" t="s">
        <v>103</v>
      </c>
      <c r="B86" s="3" t="s">
        <v>263</v>
      </c>
      <c r="C86" s="3" t="s">
        <v>35</v>
      </c>
      <c r="D86" s="3" t="s">
        <v>36</v>
      </c>
      <c r="E86" s="3" t="s">
        <v>143</v>
      </c>
      <c r="F86" s="3" t="s">
        <v>104</v>
      </c>
      <c r="G86" s="3" t="s">
        <v>263</v>
      </c>
      <c r="H86" s="3" t="s">
        <v>144</v>
      </c>
      <c r="I86" s="4">
        <v>3</v>
      </c>
    </row>
    <row r="87" spans="1:9" x14ac:dyDescent="0.25">
      <c r="A87" s="3" t="s">
        <v>103</v>
      </c>
      <c r="B87" s="3" t="s">
        <v>7</v>
      </c>
      <c r="C87" s="3" t="s">
        <v>35</v>
      </c>
      <c r="D87" s="3" t="s">
        <v>36</v>
      </c>
      <c r="E87" s="3" t="s">
        <v>98</v>
      </c>
      <c r="F87" s="3" t="s">
        <v>104</v>
      </c>
      <c r="G87" s="3" t="s">
        <v>7</v>
      </c>
      <c r="H87" s="3" t="s">
        <v>100</v>
      </c>
      <c r="I87" s="4">
        <v>2</v>
      </c>
    </row>
    <row r="88" spans="1:9" x14ac:dyDescent="0.25">
      <c r="A88" s="3" t="s">
        <v>103</v>
      </c>
      <c r="B88" s="3" t="s">
        <v>7</v>
      </c>
      <c r="C88" s="3" t="s">
        <v>35</v>
      </c>
      <c r="D88" s="3" t="s">
        <v>36</v>
      </c>
      <c r="E88" s="3" t="s">
        <v>81</v>
      </c>
      <c r="F88" s="3" t="s">
        <v>104</v>
      </c>
      <c r="G88" s="3" t="s">
        <v>7</v>
      </c>
      <c r="H88" s="3" t="s">
        <v>83</v>
      </c>
      <c r="I88" s="4">
        <v>2</v>
      </c>
    </row>
    <row r="89" spans="1:9" x14ac:dyDescent="0.25">
      <c r="A89" s="3" t="s">
        <v>103</v>
      </c>
      <c r="B89" s="3" t="s">
        <v>7</v>
      </c>
      <c r="C89" s="3" t="s">
        <v>35</v>
      </c>
      <c r="D89" s="3" t="s">
        <v>36</v>
      </c>
      <c r="E89" s="3" t="s">
        <v>85</v>
      </c>
      <c r="F89" s="3" t="s">
        <v>104</v>
      </c>
      <c r="G89" s="3" t="s">
        <v>7</v>
      </c>
      <c r="H89" s="3" t="s">
        <v>87</v>
      </c>
      <c r="I89" s="4">
        <v>2</v>
      </c>
    </row>
    <row r="90" spans="1:9" x14ac:dyDescent="0.25">
      <c r="A90" s="3" t="s">
        <v>103</v>
      </c>
      <c r="B90" s="3" t="s">
        <v>7</v>
      </c>
      <c r="C90" s="3" t="s">
        <v>35</v>
      </c>
      <c r="D90" s="3" t="s">
        <v>36</v>
      </c>
      <c r="E90" s="3" t="s">
        <v>125</v>
      </c>
      <c r="F90" s="3" t="s">
        <v>104</v>
      </c>
      <c r="G90" s="3" t="s">
        <v>7</v>
      </c>
      <c r="H90" s="3" t="s">
        <v>126</v>
      </c>
      <c r="I90" s="4">
        <v>2</v>
      </c>
    </row>
    <row r="91" spans="1:9" x14ac:dyDescent="0.25">
      <c r="A91" s="3" t="s">
        <v>103</v>
      </c>
      <c r="B91" s="3" t="s">
        <v>7</v>
      </c>
      <c r="C91" s="3" t="s">
        <v>35</v>
      </c>
      <c r="D91" s="3" t="s">
        <v>36</v>
      </c>
      <c r="E91" s="3" t="s">
        <v>114</v>
      </c>
      <c r="F91" s="3" t="s">
        <v>104</v>
      </c>
      <c r="G91" s="3" t="s">
        <v>7</v>
      </c>
      <c r="H91" s="3" t="s">
        <v>116</v>
      </c>
      <c r="I91" s="4">
        <v>2</v>
      </c>
    </row>
    <row r="92" spans="1:9" x14ac:dyDescent="0.25">
      <c r="A92" s="3" t="s">
        <v>103</v>
      </c>
      <c r="B92" s="3" t="s">
        <v>4</v>
      </c>
      <c r="C92" s="3" t="s">
        <v>35</v>
      </c>
      <c r="D92" s="3" t="s">
        <v>36</v>
      </c>
      <c r="E92" s="3" t="s">
        <v>78</v>
      </c>
      <c r="F92" s="3" t="s">
        <v>104</v>
      </c>
      <c r="G92" s="3" t="s">
        <v>4</v>
      </c>
      <c r="H92" s="3" t="s">
        <v>79</v>
      </c>
      <c r="I92" s="4">
        <v>1</v>
      </c>
    </row>
    <row r="93" spans="1:9" x14ac:dyDescent="0.25">
      <c r="A93" s="3" t="s">
        <v>103</v>
      </c>
      <c r="B93" s="3" t="s">
        <v>4</v>
      </c>
      <c r="C93" s="3" t="s">
        <v>35</v>
      </c>
      <c r="D93" s="3" t="s">
        <v>36</v>
      </c>
      <c r="E93" s="3" t="s">
        <v>89</v>
      </c>
      <c r="F93" s="3" t="s">
        <v>104</v>
      </c>
      <c r="G93" s="3" t="s">
        <v>4</v>
      </c>
      <c r="H93" s="3" t="s">
        <v>90</v>
      </c>
      <c r="I93" s="4">
        <v>1</v>
      </c>
    </row>
    <row r="94" spans="1:9" x14ac:dyDescent="0.25">
      <c r="A94" s="3" t="s">
        <v>103</v>
      </c>
      <c r="B94" s="3" t="s">
        <v>4</v>
      </c>
      <c r="C94" s="3" t="s">
        <v>35</v>
      </c>
      <c r="D94" s="3" t="s">
        <v>36</v>
      </c>
      <c r="E94" s="3" t="s">
        <v>43</v>
      </c>
      <c r="F94" s="3" t="s">
        <v>104</v>
      </c>
      <c r="G94" s="3" t="s">
        <v>4</v>
      </c>
      <c r="H94" s="3" t="s">
        <v>45</v>
      </c>
      <c r="I94" s="4">
        <v>1</v>
      </c>
    </row>
    <row r="95" spans="1:9" x14ac:dyDescent="0.25">
      <c r="A95" s="3" t="s">
        <v>103</v>
      </c>
      <c r="B95" s="3" t="s">
        <v>4</v>
      </c>
      <c r="C95" s="3" t="s">
        <v>35</v>
      </c>
      <c r="D95" s="3" t="s">
        <v>36</v>
      </c>
      <c r="E95" s="3" t="s">
        <v>266</v>
      </c>
      <c r="F95" s="3" t="s">
        <v>104</v>
      </c>
      <c r="G95" s="3" t="s">
        <v>4</v>
      </c>
      <c r="H95" s="3" t="s">
        <v>267</v>
      </c>
      <c r="I95" s="4">
        <v>1</v>
      </c>
    </row>
    <row r="96" spans="1:9" x14ac:dyDescent="0.25">
      <c r="A96" s="3" t="s">
        <v>159</v>
      </c>
      <c r="B96" s="3" t="s">
        <v>272</v>
      </c>
      <c r="C96" s="3" t="s">
        <v>145</v>
      </c>
      <c r="D96" s="3" t="s">
        <v>146</v>
      </c>
      <c r="E96" s="3" t="s">
        <v>89</v>
      </c>
      <c r="F96" s="3" t="s">
        <v>160</v>
      </c>
      <c r="G96" s="3" t="s">
        <v>273</v>
      </c>
      <c r="H96" s="3" t="s">
        <v>90</v>
      </c>
      <c r="I96" s="4">
        <v>4</v>
      </c>
    </row>
    <row r="97" spans="1:9" x14ac:dyDescent="0.25">
      <c r="A97" s="3" t="s">
        <v>159</v>
      </c>
      <c r="B97" s="3" t="s">
        <v>7</v>
      </c>
      <c r="C97" s="3" t="s">
        <v>145</v>
      </c>
      <c r="D97" s="3" t="s">
        <v>146</v>
      </c>
      <c r="E97" s="3" t="s">
        <v>75</v>
      </c>
      <c r="F97" s="3" t="s">
        <v>160</v>
      </c>
      <c r="G97" s="3" t="s">
        <v>7</v>
      </c>
      <c r="H97" s="3" t="s">
        <v>77</v>
      </c>
      <c r="I97" s="4">
        <v>2</v>
      </c>
    </row>
    <row r="98" spans="1:9" x14ac:dyDescent="0.25">
      <c r="A98" s="3" t="s">
        <v>159</v>
      </c>
      <c r="B98" s="3" t="s">
        <v>7</v>
      </c>
      <c r="C98" s="3" t="s">
        <v>145</v>
      </c>
      <c r="D98" s="3" t="s">
        <v>146</v>
      </c>
      <c r="E98" s="3" t="s">
        <v>78</v>
      </c>
      <c r="F98" s="3" t="s">
        <v>160</v>
      </c>
      <c r="G98" s="3" t="s">
        <v>7</v>
      </c>
      <c r="H98" s="3" t="s">
        <v>79</v>
      </c>
      <c r="I98" s="4">
        <v>2</v>
      </c>
    </row>
    <row r="99" spans="1:9" x14ac:dyDescent="0.25">
      <c r="A99" s="3" t="s">
        <v>159</v>
      </c>
      <c r="B99" s="3" t="s">
        <v>7</v>
      </c>
      <c r="C99" s="3" t="s">
        <v>145</v>
      </c>
      <c r="D99" s="3" t="s">
        <v>146</v>
      </c>
      <c r="E99" s="3" t="s">
        <v>114</v>
      </c>
      <c r="F99" s="3" t="s">
        <v>160</v>
      </c>
      <c r="G99" s="3" t="s">
        <v>7</v>
      </c>
      <c r="H99" s="3" t="s">
        <v>116</v>
      </c>
      <c r="I99" s="4">
        <v>2</v>
      </c>
    </row>
    <row r="100" spans="1:9" x14ac:dyDescent="0.25">
      <c r="A100" s="3" t="s">
        <v>159</v>
      </c>
      <c r="B100" s="3" t="s">
        <v>4</v>
      </c>
      <c r="C100" s="3" t="s">
        <v>145</v>
      </c>
      <c r="D100" s="3" t="s">
        <v>146</v>
      </c>
      <c r="E100" s="3" t="s">
        <v>43</v>
      </c>
      <c r="F100" s="3" t="s">
        <v>160</v>
      </c>
      <c r="G100" s="3" t="s">
        <v>4</v>
      </c>
      <c r="H100" s="3" t="s">
        <v>45</v>
      </c>
      <c r="I100" s="4">
        <v>1</v>
      </c>
    </row>
    <row r="101" spans="1:9" x14ac:dyDescent="0.25">
      <c r="A101" s="3" t="s">
        <v>159</v>
      </c>
      <c r="B101" s="3" t="s">
        <v>4</v>
      </c>
      <c r="C101" s="3" t="s">
        <v>145</v>
      </c>
      <c r="D101" s="3" t="s">
        <v>146</v>
      </c>
      <c r="E101" s="3" t="s">
        <v>53</v>
      </c>
      <c r="F101" s="3" t="s">
        <v>160</v>
      </c>
      <c r="G101" s="3" t="s">
        <v>4</v>
      </c>
      <c r="H101" s="3" t="s">
        <v>55</v>
      </c>
      <c r="I101" s="4">
        <v>1</v>
      </c>
    </row>
    <row r="102" spans="1:9" x14ac:dyDescent="0.25">
      <c r="A102" s="3" t="s">
        <v>159</v>
      </c>
      <c r="B102" s="3" t="s">
        <v>4</v>
      </c>
      <c r="C102" s="3" t="s">
        <v>145</v>
      </c>
      <c r="D102" s="3" t="s">
        <v>146</v>
      </c>
      <c r="E102" s="3" t="s">
        <v>119</v>
      </c>
      <c r="F102" s="3" t="s">
        <v>160</v>
      </c>
      <c r="G102" s="3" t="s">
        <v>4</v>
      </c>
      <c r="H102" s="3" t="s">
        <v>120</v>
      </c>
      <c r="I102" s="4">
        <v>1</v>
      </c>
    </row>
    <row r="103" spans="1:9" x14ac:dyDescent="0.25">
      <c r="A103" s="3" t="s">
        <v>159</v>
      </c>
      <c r="B103" s="3" t="s">
        <v>4</v>
      </c>
      <c r="C103" s="3" t="s">
        <v>145</v>
      </c>
      <c r="D103" s="3" t="s">
        <v>146</v>
      </c>
      <c r="E103" s="3" t="s">
        <v>63</v>
      </c>
      <c r="F103" s="3" t="s">
        <v>160</v>
      </c>
      <c r="G103" s="3" t="s">
        <v>4</v>
      </c>
      <c r="H103" s="3" t="s">
        <v>65</v>
      </c>
      <c r="I103" s="4">
        <v>1</v>
      </c>
    </row>
    <row r="104" spans="1:9" x14ac:dyDescent="0.25">
      <c r="A104" s="3" t="s">
        <v>159</v>
      </c>
      <c r="B104" s="3" t="s">
        <v>4</v>
      </c>
      <c r="C104" s="3" t="s">
        <v>145</v>
      </c>
      <c r="D104" s="3" t="s">
        <v>146</v>
      </c>
      <c r="E104" s="3" t="s">
        <v>266</v>
      </c>
      <c r="F104" s="3" t="s">
        <v>160</v>
      </c>
      <c r="G104" s="3" t="s">
        <v>4</v>
      </c>
      <c r="H104" s="3" t="s">
        <v>267</v>
      </c>
      <c r="I104" s="4">
        <v>1</v>
      </c>
    </row>
    <row r="105" spans="1:9" x14ac:dyDescent="0.25">
      <c r="A105" s="3" t="s">
        <v>255</v>
      </c>
      <c r="B105" s="3" t="s">
        <v>4</v>
      </c>
      <c r="C105" s="3" t="s">
        <v>152</v>
      </c>
      <c r="D105" s="3" t="s">
        <v>153</v>
      </c>
      <c r="E105" s="3" t="s">
        <v>109</v>
      </c>
      <c r="F105" s="3" t="s">
        <v>256</v>
      </c>
      <c r="G105" s="3" t="s">
        <v>4</v>
      </c>
      <c r="H105" s="3" t="s">
        <v>110</v>
      </c>
      <c r="I105" s="4">
        <v>1</v>
      </c>
    </row>
    <row r="106" spans="1:9" x14ac:dyDescent="0.25">
      <c r="A106" s="3" t="s">
        <v>243</v>
      </c>
      <c r="B106" s="3" t="s">
        <v>4</v>
      </c>
      <c r="C106" s="3" t="s">
        <v>162</v>
      </c>
      <c r="D106" s="3" t="s">
        <v>163</v>
      </c>
      <c r="E106" s="3" t="s">
        <v>125</v>
      </c>
      <c r="F106" s="3" t="s">
        <v>244</v>
      </c>
      <c r="G106" s="3" t="s">
        <v>4</v>
      </c>
      <c r="H106" s="3" t="s">
        <v>126</v>
      </c>
      <c r="I106" s="4">
        <v>1</v>
      </c>
    </row>
    <row r="107" spans="1:9" x14ac:dyDescent="0.25">
      <c r="A107" s="3" t="s">
        <v>243</v>
      </c>
      <c r="B107" s="3" t="s">
        <v>4</v>
      </c>
      <c r="C107" s="3" t="s">
        <v>162</v>
      </c>
      <c r="D107" s="3" t="s">
        <v>163</v>
      </c>
      <c r="E107" s="3" t="s">
        <v>78</v>
      </c>
      <c r="F107" s="3" t="s">
        <v>244</v>
      </c>
      <c r="G107" s="3" t="s">
        <v>4</v>
      </c>
      <c r="H107" s="3" t="s">
        <v>79</v>
      </c>
      <c r="I107" s="4">
        <v>1</v>
      </c>
    </row>
    <row r="108" spans="1:9" x14ac:dyDescent="0.25">
      <c r="A108" s="3" t="s">
        <v>243</v>
      </c>
      <c r="B108" s="3" t="s">
        <v>4</v>
      </c>
      <c r="C108" s="3" t="s">
        <v>162</v>
      </c>
      <c r="D108" s="3" t="s">
        <v>163</v>
      </c>
      <c r="E108" s="3" t="s">
        <v>114</v>
      </c>
      <c r="F108" s="3" t="s">
        <v>244</v>
      </c>
      <c r="G108" s="3" t="s">
        <v>4</v>
      </c>
      <c r="H108" s="3" t="s">
        <v>116</v>
      </c>
      <c r="I108" s="4">
        <v>1</v>
      </c>
    </row>
    <row r="109" spans="1:9" x14ac:dyDescent="0.25">
      <c r="A109" s="3" t="s">
        <v>185</v>
      </c>
      <c r="B109" s="3" t="s">
        <v>263</v>
      </c>
      <c r="C109" s="3" t="s">
        <v>162</v>
      </c>
      <c r="D109" s="3" t="s">
        <v>163</v>
      </c>
      <c r="E109" s="3" t="s">
        <v>107</v>
      </c>
      <c r="F109" s="3" t="s">
        <v>186</v>
      </c>
      <c r="G109" s="3" t="s">
        <v>263</v>
      </c>
      <c r="H109" s="3" t="s">
        <v>108</v>
      </c>
      <c r="I109" s="4">
        <v>3</v>
      </c>
    </row>
    <row r="110" spans="1:9" x14ac:dyDescent="0.25">
      <c r="A110" s="3" t="s">
        <v>185</v>
      </c>
      <c r="B110" s="3" t="s">
        <v>4</v>
      </c>
      <c r="C110" s="3" t="s">
        <v>162</v>
      </c>
      <c r="D110" s="3" t="s">
        <v>163</v>
      </c>
      <c r="E110" s="3" t="s">
        <v>63</v>
      </c>
      <c r="F110" s="3" t="s">
        <v>186</v>
      </c>
      <c r="G110" s="3" t="s">
        <v>4</v>
      </c>
      <c r="H110" s="3" t="s">
        <v>65</v>
      </c>
      <c r="I110" s="4">
        <v>1</v>
      </c>
    </row>
    <row r="111" spans="1:9" x14ac:dyDescent="0.25">
      <c r="A111" s="3" t="s">
        <v>185</v>
      </c>
      <c r="B111" s="3" t="s">
        <v>4</v>
      </c>
      <c r="C111" s="3" t="s">
        <v>162</v>
      </c>
      <c r="D111" s="3" t="s">
        <v>163</v>
      </c>
      <c r="E111" s="3" t="s">
        <v>75</v>
      </c>
      <c r="F111" s="3" t="s">
        <v>186</v>
      </c>
      <c r="G111" s="3" t="s">
        <v>4</v>
      </c>
      <c r="H111" s="3" t="s">
        <v>77</v>
      </c>
      <c r="I111" s="4">
        <v>1</v>
      </c>
    </row>
    <row r="112" spans="1:9" x14ac:dyDescent="0.25">
      <c r="A112" s="3" t="s">
        <v>185</v>
      </c>
      <c r="B112" s="3" t="s">
        <v>4</v>
      </c>
      <c r="C112" s="3" t="s">
        <v>162</v>
      </c>
      <c r="D112" s="3" t="s">
        <v>163</v>
      </c>
      <c r="E112" s="3" t="s">
        <v>109</v>
      </c>
      <c r="F112" s="3" t="s">
        <v>186</v>
      </c>
      <c r="G112" s="3" t="s">
        <v>4</v>
      </c>
      <c r="H112" s="3" t="s">
        <v>110</v>
      </c>
      <c r="I112" s="4">
        <v>1</v>
      </c>
    </row>
    <row r="113" spans="1:9" x14ac:dyDescent="0.25">
      <c r="A113" s="3" t="s">
        <v>185</v>
      </c>
      <c r="B113" s="3" t="s">
        <v>4</v>
      </c>
      <c r="C113" s="3" t="s">
        <v>162</v>
      </c>
      <c r="D113" s="3" t="s">
        <v>163</v>
      </c>
      <c r="E113" s="3" t="s">
        <v>85</v>
      </c>
      <c r="F113" s="3" t="s">
        <v>186</v>
      </c>
      <c r="G113" s="3" t="s">
        <v>4</v>
      </c>
      <c r="H113" s="3" t="s">
        <v>87</v>
      </c>
      <c r="I113" s="4">
        <v>1</v>
      </c>
    </row>
    <row r="114" spans="1:9" x14ac:dyDescent="0.25">
      <c r="A114" s="3" t="s">
        <v>185</v>
      </c>
      <c r="B114" s="3" t="s">
        <v>4</v>
      </c>
      <c r="C114" s="3" t="s">
        <v>162</v>
      </c>
      <c r="D114" s="3" t="s">
        <v>163</v>
      </c>
      <c r="E114" s="3" t="s">
        <v>98</v>
      </c>
      <c r="F114" s="3" t="s">
        <v>186</v>
      </c>
      <c r="G114" s="3" t="s">
        <v>4</v>
      </c>
      <c r="H114" s="3" t="s">
        <v>100</v>
      </c>
      <c r="I114" s="4">
        <v>1</v>
      </c>
    </row>
    <row r="115" spans="1:9" x14ac:dyDescent="0.25">
      <c r="A115" s="3" t="s">
        <v>185</v>
      </c>
      <c r="B115" s="3" t="s">
        <v>4</v>
      </c>
      <c r="C115" s="3" t="s">
        <v>162</v>
      </c>
      <c r="D115" s="3" t="s">
        <v>163</v>
      </c>
      <c r="E115" s="3" t="s">
        <v>78</v>
      </c>
      <c r="F115" s="3" t="s">
        <v>186</v>
      </c>
      <c r="G115" s="3" t="s">
        <v>4</v>
      </c>
      <c r="H115" s="3" t="s">
        <v>79</v>
      </c>
      <c r="I115" s="4">
        <v>1</v>
      </c>
    </row>
    <row r="116" spans="1:9" x14ac:dyDescent="0.25">
      <c r="A116" s="3" t="s">
        <v>185</v>
      </c>
      <c r="B116" s="3" t="s">
        <v>4</v>
      </c>
      <c r="C116" s="3" t="s">
        <v>162</v>
      </c>
      <c r="D116" s="3" t="s">
        <v>163</v>
      </c>
      <c r="E116" s="3" t="s">
        <v>114</v>
      </c>
      <c r="F116" s="3" t="s">
        <v>186</v>
      </c>
      <c r="G116" s="3" t="s">
        <v>4</v>
      </c>
      <c r="H116" s="3" t="s">
        <v>116</v>
      </c>
      <c r="I116" s="4">
        <v>1</v>
      </c>
    </row>
    <row r="117" spans="1:9" x14ac:dyDescent="0.25">
      <c r="A117" s="3" t="s">
        <v>253</v>
      </c>
      <c r="B117" s="3" t="s">
        <v>4</v>
      </c>
      <c r="C117" s="3" t="s">
        <v>162</v>
      </c>
      <c r="D117" s="3" t="s">
        <v>163</v>
      </c>
      <c r="E117" s="3" t="s">
        <v>53</v>
      </c>
      <c r="F117" s="3" t="s">
        <v>254</v>
      </c>
      <c r="G117" s="3" t="s">
        <v>4</v>
      </c>
      <c r="H117" s="3" t="s">
        <v>55</v>
      </c>
      <c r="I117" s="4">
        <v>1</v>
      </c>
    </row>
    <row r="118" spans="1:9" x14ac:dyDescent="0.25">
      <c r="A118" s="3" t="s">
        <v>175</v>
      </c>
      <c r="B118" s="3" t="s">
        <v>263</v>
      </c>
      <c r="C118" s="3" t="s">
        <v>145</v>
      </c>
      <c r="D118" s="3" t="s">
        <v>146</v>
      </c>
      <c r="E118" s="3" t="s">
        <v>114</v>
      </c>
      <c r="F118" s="3" t="s">
        <v>176</v>
      </c>
      <c r="G118" s="3" t="s">
        <v>263</v>
      </c>
      <c r="H118" s="3" t="s">
        <v>116</v>
      </c>
      <c r="I118" s="4">
        <v>3</v>
      </c>
    </row>
    <row r="119" spans="1:9" x14ac:dyDescent="0.25">
      <c r="A119" s="3" t="s">
        <v>175</v>
      </c>
      <c r="B119" s="3" t="s">
        <v>7</v>
      </c>
      <c r="C119" s="3" t="s">
        <v>145</v>
      </c>
      <c r="D119" s="3" t="s">
        <v>146</v>
      </c>
      <c r="E119" s="3" t="s">
        <v>107</v>
      </c>
      <c r="F119" s="3" t="s">
        <v>176</v>
      </c>
      <c r="G119" s="3" t="s">
        <v>7</v>
      </c>
      <c r="H119" s="3" t="s">
        <v>108</v>
      </c>
      <c r="I119" s="4">
        <v>2</v>
      </c>
    </row>
    <row r="120" spans="1:9" x14ac:dyDescent="0.25">
      <c r="A120" s="3" t="s">
        <v>175</v>
      </c>
      <c r="B120" s="3" t="s">
        <v>7</v>
      </c>
      <c r="C120" s="3" t="s">
        <v>145</v>
      </c>
      <c r="D120" s="3" t="s">
        <v>146</v>
      </c>
      <c r="E120" s="3" t="s">
        <v>81</v>
      </c>
      <c r="F120" s="3" t="s">
        <v>176</v>
      </c>
      <c r="G120" s="3" t="s">
        <v>7</v>
      </c>
      <c r="H120" s="3" t="s">
        <v>83</v>
      </c>
      <c r="I120" s="4">
        <v>2</v>
      </c>
    </row>
    <row r="121" spans="1:9" x14ac:dyDescent="0.25">
      <c r="A121" s="3" t="s">
        <v>175</v>
      </c>
      <c r="B121" s="3" t="s">
        <v>4</v>
      </c>
      <c r="C121" s="3" t="s">
        <v>145</v>
      </c>
      <c r="D121" s="3" t="s">
        <v>146</v>
      </c>
      <c r="E121" s="3" t="s">
        <v>75</v>
      </c>
      <c r="F121" s="3" t="s">
        <v>176</v>
      </c>
      <c r="G121" s="3" t="s">
        <v>4</v>
      </c>
      <c r="H121" s="3" t="s">
        <v>77</v>
      </c>
      <c r="I121" s="4">
        <v>1</v>
      </c>
    </row>
    <row r="122" spans="1:9" x14ac:dyDescent="0.25">
      <c r="A122" s="3" t="s">
        <v>175</v>
      </c>
      <c r="B122" s="3" t="s">
        <v>4</v>
      </c>
      <c r="C122" s="3" t="s">
        <v>145</v>
      </c>
      <c r="D122" s="3" t="s">
        <v>146</v>
      </c>
      <c r="E122" s="3" t="s">
        <v>89</v>
      </c>
      <c r="F122" s="3" t="s">
        <v>176</v>
      </c>
      <c r="G122" s="3" t="s">
        <v>4</v>
      </c>
      <c r="H122" s="3" t="s">
        <v>90</v>
      </c>
      <c r="I122" s="4">
        <v>1</v>
      </c>
    </row>
    <row r="123" spans="1:9" x14ac:dyDescent="0.25">
      <c r="A123" s="3" t="s">
        <v>175</v>
      </c>
      <c r="B123" s="3" t="s">
        <v>4</v>
      </c>
      <c r="C123" s="3" t="s">
        <v>145</v>
      </c>
      <c r="D123" s="3" t="s">
        <v>146</v>
      </c>
      <c r="E123" s="3" t="s">
        <v>98</v>
      </c>
      <c r="F123" s="3" t="s">
        <v>176</v>
      </c>
      <c r="G123" s="3" t="s">
        <v>4</v>
      </c>
      <c r="H123" s="3" t="s">
        <v>100</v>
      </c>
      <c r="I123" s="4">
        <v>1</v>
      </c>
    </row>
    <row r="124" spans="1:9" x14ac:dyDescent="0.25">
      <c r="A124" s="3" t="s">
        <v>187</v>
      </c>
      <c r="B124" s="3" t="s">
        <v>263</v>
      </c>
      <c r="C124" s="3" t="s">
        <v>188</v>
      </c>
      <c r="D124" s="3" t="s">
        <v>171</v>
      </c>
      <c r="E124" s="3" t="s">
        <v>114</v>
      </c>
      <c r="F124" s="3" t="s">
        <v>189</v>
      </c>
      <c r="G124" s="3" t="s">
        <v>263</v>
      </c>
      <c r="H124" s="3" t="s">
        <v>116</v>
      </c>
      <c r="I124" s="4">
        <v>3</v>
      </c>
    </row>
    <row r="125" spans="1:9" x14ac:dyDescent="0.25">
      <c r="A125" s="3" t="s">
        <v>187</v>
      </c>
      <c r="B125" s="3" t="s">
        <v>7</v>
      </c>
      <c r="C125" s="3" t="s">
        <v>188</v>
      </c>
      <c r="D125" s="3" t="s">
        <v>171</v>
      </c>
      <c r="E125" s="3" t="s">
        <v>107</v>
      </c>
      <c r="F125" s="3" t="s">
        <v>189</v>
      </c>
      <c r="G125" s="3" t="s">
        <v>7</v>
      </c>
      <c r="H125" s="3" t="s">
        <v>108</v>
      </c>
      <c r="I125" s="4">
        <v>2</v>
      </c>
    </row>
    <row r="126" spans="1:9" x14ac:dyDescent="0.25">
      <c r="A126" s="3" t="s">
        <v>187</v>
      </c>
      <c r="B126" s="3" t="s">
        <v>4</v>
      </c>
      <c r="C126" s="3" t="s">
        <v>188</v>
      </c>
      <c r="D126" s="3" t="s">
        <v>171</v>
      </c>
      <c r="E126" s="3" t="s">
        <v>109</v>
      </c>
      <c r="F126" s="3" t="s">
        <v>189</v>
      </c>
      <c r="G126" s="3" t="s">
        <v>4</v>
      </c>
      <c r="H126" s="3" t="s">
        <v>110</v>
      </c>
      <c r="I126" s="4">
        <v>1</v>
      </c>
    </row>
    <row r="127" spans="1:9" x14ac:dyDescent="0.25">
      <c r="A127" s="3" t="s">
        <v>187</v>
      </c>
      <c r="B127" s="3" t="s">
        <v>4</v>
      </c>
      <c r="C127" s="3" t="s">
        <v>188</v>
      </c>
      <c r="D127" s="3" t="s">
        <v>171</v>
      </c>
      <c r="E127" s="3" t="s">
        <v>85</v>
      </c>
      <c r="F127" s="3" t="s">
        <v>189</v>
      </c>
      <c r="G127" s="3" t="s">
        <v>4</v>
      </c>
      <c r="H127" s="3" t="s">
        <v>87</v>
      </c>
      <c r="I127" s="4">
        <v>1</v>
      </c>
    </row>
    <row r="128" spans="1:9" x14ac:dyDescent="0.25">
      <c r="A128" s="3" t="s">
        <v>187</v>
      </c>
      <c r="B128" s="3" t="s">
        <v>4</v>
      </c>
      <c r="C128" s="3" t="s">
        <v>188</v>
      </c>
      <c r="D128" s="3" t="s">
        <v>171</v>
      </c>
      <c r="E128" s="3" t="s">
        <v>125</v>
      </c>
      <c r="F128" s="3" t="s">
        <v>189</v>
      </c>
      <c r="G128" s="3" t="s">
        <v>4</v>
      </c>
      <c r="H128" s="3" t="s">
        <v>126</v>
      </c>
      <c r="I128" s="4">
        <v>1</v>
      </c>
    </row>
    <row r="129" spans="1:9" x14ac:dyDescent="0.25">
      <c r="A129" s="3" t="s">
        <v>187</v>
      </c>
      <c r="B129" s="3" t="s">
        <v>4</v>
      </c>
      <c r="C129" s="3" t="s">
        <v>188</v>
      </c>
      <c r="D129" s="3" t="s">
        <v>171</v>
      </c>
      <c r="E129" s="3" t="s">
        <v>81</v>
      </c>
      <c r="F129" s="3" t="s">
        <v>189</v>
      </c>
      <c r="G129" s="3" t="s">
        <v>4</v>
      </c>
      <c r="H129" s="3" t="s">
        <v>83</v>
      </c>
      <c r="I129" s="4">
        <v>1</v>
      </c>
    </row>
    <row r="130" spans="1:9" x14ac:dyDescent="0.25">
      <c r="A130" s="3" t="s">
        <v>66</v>
      </c>
      <c r="B130" s="3" t="s">
        <v>270</v>
      </c>
      <c r="C130" s="3" t="s">
        <v>35</v>
      </c>
      <c r="D130" s="3" t="s">
        <v>36</v>
      </c>
      <c r="E130" s="3" t="s">
        <v>89</v>
      </c>
      <c r="F130" s="3" t="s">
        <v>67</v>
      </c>
      <c r="G130" s="3" t="s">
        <v>16</v>
      </c>
      <c r="H130" s="3" t="s">
        <v>90</v>
      </c>
      <c r="I130" s="4">
        <v>5</v>
      </c>
    </row>
    <row r="131" spans="1:9" x14ac:dyDescent="0.25">
      <c r="A131" s="3" t="s">
        <v>66</v>
      </c>
      <c r="B131" s="3" t="s">
        <v>270</v>
      </c>
      <c r="C131" s="3" t="s">
        <v>35</v>
      </c>
      <c r="D131" s="3" t="s">
        <v>36</v>
      </c>
      <c r="E131" s="3" t="s">
        <v>141</v>
      </c>
      <c r="F131" s="3" t="s">
        <v>67</v>
      </c>
      <c r="G131" s="3" t="s">
        <v>16</v>
      </c>
      <c r="H131" s="3" t="s">
        <v>142</v>
      </c>
      <c r="I131" s="4">
        <v>5</v>
      </c>
    </row>
    <row r="132" spans="1:9" x14ac:dyDescent="0.25">
      <c r="A132" s="3" t="s">
        <v>66</v>
      </c>
      <c r="B132" s="3" t="s">
        <v>263</v>
      </c>
      <c r="C132" s="3" t="s">
        <v>35</v>
      </c>
      <c r="D132" s="3" t="s">
        <v>36</v>
      </c>
      <c r="E132" s="3" t="s">
        <v>107</v>
      </c>
      <c r="F132" s="3" t="s">
        <v>67</v>
      </c>
      <c r="G132" s="3" t="s">
        <v>263</v>
      </c>
      <c r="H132" s="3" t="s">
        <v>108</v>
      </c>
      <c r="I132" s="4">
        <v>3</v>
      </c>
    </row>
    <row r="133" spans="1:9" x14ac:dyDescent="0.25">
      <c r="A133" s="3" t="s">
        <v>66</v>
      </c>
      <c r="B133" s="3" t="s">
        <v>263</v>
      </c>
      <c r="C133" s="3" t="s">
        <v>35</v>
      </c>
      <c r="D133" s="3" t="s">
        <v>36</v>
      </c>
      <c r="E133" s="3" t="s">
        <v>143</v>
      </c>
      <c r="F133" s="3" t="s">
        <v>67</v>
      </c>
      <c r="G133" s="3" t="s">
        <v>263</v>
      </c>
      <c r="H133" s="3" t="s">
        <v>144</v>
      </c>
      <c r="I133" s="4">
        <v>3</v>
      </c>
    </row>
    <row r="134" spans="1:9" x14ac:dyDescent="0.25">
      <c r="A134" s="3" t="s">
        <v>66</v>
      </c>
      <c r="B134" s="3" t="s">
        <v>4</v>
      </c>
      <c r="C134" s="3" t="s">
        <v>35</v>
      </c>
      <c r="D134" s="3" t="s">
        <v>36</v>
      </c>
      <c r="E134" s="3" t="s">
        <v>63</v>
      </c>
      <c r="F134" s="3" t="s">
        <v>67</v>
      </c>
      <c r="G134" s="3" t="s">
        <v>4</v>
      </c>
      <c r="H134" s="3" t="s">
        <v>65</v>
      </c>
      <c r="I134" s="4">
        <v>1</v>
      </c>
    </row>
    <row r="135" spans="1:9" x14ac:dyDescent="0.25">
      <c r="A135" s="3" t="s">
        <v>66</v>
      </c>
      <c r="B135" s="3" t="s">
        <v>4</v>
      </c>
      <c r="C135" s="3" t="s">
        <v>35</v>
      </c>
      <c r="D135" s="3" t="s">
        <v>36</v>
      </c>
      <c r="E135" s="3" t="s">
        <v>37</v>
      </c>
      <c r="F135" s="3" t="s">
        <v>67</v>
      </c>
      <c r="G135" s="3" t="s">
        <v>4</v>
      </c>
      <c r="H135" s="3" t="s">
        <v>39</v>
      </c>
      <c r="I135" s="4">
        <v>1</v>
      </c>
    </row>
    <row r="136" spans="1:9" x14ac:dyDescent="0.25">
      <c r="A136" s="3" t="s">
        <v>66</v>
      </c>
      <c r="B136" s="3" t="s">
        <v>4</v>
      </c>
      <c r="C136" s="3" t="s">
        <v>35</v>
      </c>
      <c r="D136" s="3" t="s">
        <v>36</v>
      </c>
      <c r="E136" s="3" t="s">
        <v>47</v>
      </c>
      <c r="F136" s="3" t="s">
        <v>67</v>
      </c>
      <c r="G136" s="3" t="s">
        <v>4</v>
      </c>
      <c r="H136" s="3" t="s">
        <v>49</v>
      </c>
      <c r="I136" s="4">
        <v>1</v>
      </c>
    </row>
    <row r="137" spans="1:9" x14ac:dyDescent="0.25">
      <c r="A137" s="3" t="s">
        <v>66</v>
      </c>
      <c r="B137" s="3" t="s">
        <v>4</v>
      </c>
      <c r="C137" s="3" t="s">
        <v>35</v>
      </c>
      <c r="D137" s="3" t="s">
        <v>36</v>
      </c>
      <c r="E137" s="3" t="s">
        <v>268</v>
      </c>
      <c r="F137" s="3" t="s">
        <v>67</v>
      </c>
      <c r="G137" s="3" t="s">
        <v>4</v>
      </c>
      <c r="H137" s="3" t="s">
        <v>269</v>
      </c>
      <c r="I137" s="4">
        <v>1</v>
      </c>
    </row>
    <row r="138" spans="1:9" x14ac:dyDescent="0.25">
      <c r="A138" s="3" t="s">
        <v>206</v>
      </c>
      <c r="B138" s="3" t="s">
        <v>263</v>
      </c>
      <c r="C138" s="3" t="s">
        <v>207</v>
      </c>
      <c r="D138" s="3" t="s">
        <v>171</v>
      </c>
      <c r="E138" s="3" t="s">
        <v>143</v>
      </c>
      <c r="F138" s="3" t="s">
        <v>208</v>
      </c>
      <c r="G138" s="3" t="s">
        <v>263</v>
      </c>
      <c r="H138" s="3" t="s">
        <v>144</v>
      </c>
      <c r="I138" s="4">
        <v>3</v>
      </c>
    </row>
    <row r="139" spans="1:9" x14ac:dyDescent="0.25">
      <c r="A139" s="3" t="s">
        <v>129</v>
      </c>
      <c r="B139" s="3" t="s">
        <v>4</v>
      </c>
      <c r="C139" s="3" t="s">
        <v>35</v>
      </c>
      <c r="D139" s="3" t="s">
        <v>36</v>
      </c>
      <c r="E139" s="3" t="s">
        <v>125</v>
      </c>
      <c r="F139" s="3" t="s">
        <v>130</v>
      </c>
      <c r="G139" s="3" t="s">
        <v>4</v>
      </c>
      <c r="H139" s="3" t="s">
        <v>126</v>
      </c>
      <c r="I139" s="4">
        <v>1</v>
      </c>
    </row>
    <row r="140" spans="1:9" x14ac:dyDescent="0.25">
      <c r="A140" s="3" t="s">
        <v>52</v>
      </c>
      <c r="B140" s="3" t="s">
        <v>4</v>
      </c>
      <c r="C140" s="3" t="s">
        <v>35</v>
      </c>
      <c r="D140" s="3" t="s">
        <v>36</v>
      </c>
      <c r="E140" s="3" t="s">
        <v>53</v>
      </c>
      <c r="F140" s="3" t="s">
        <v>54</v>
      </c>
      <c r="G140" s="3" t="s">
        <v>4</v>
      </c>
      <c r="H140" s="3" t="s">
        <v>55</v>
      </c>
      <c r="I140" s="4">
        <v>1</v>
      </c>
    </row>
    <row r="141" spans="1:9" x14ac:dyDescent="0.25">
      <c r="A141" s="3" t="s">
        <v>131</v>
      </c>
      <c r="B141" s="3" t="s">
        <v>19</v>
      </c>
      <c r="C141" s="3" t="s">
        <v>35</v>
      </c>
      <c r="D141" s="3" t="s">
        <v>36</v>
      </c>
      <c r="E141" s="3" t="s">
        <v>60</v>
      </c>
      <c r="F141" s="3" t="s">
        <v>261</v>
      </c>
      <c r="G141" s="3" t="s">
        <v>19</v>
      </c>
      <c r="H141" s="3" t="s">
        <v>61</v>
      </c>
      <c r="I141" s="4">
        <v>6</v>
      </c>
    </row>
    <row r="142" spans="1:9" x14ac:dyDescent="0.25">
      <c r="A142" s="3" t="s">
        <v>131</v>
      </c>
      <c r="B142" s="3" t="s">
        <v>19</v>
      </c>
      <c r="C142" s="3" t="s">
        <v>35</v>
      </c>
      <c r="D142" s="3" t="s">
        <v>36</v>
      </c>
      <c r="E142" s="3" t="s">
        <v>107</v>
      </c>
      <c r="F142" s="3" t="s">
        <v>88</v>
      </c>
      <c r="G142" s="3" t="s">
        <v>19</v>
      </c>
      <c r="H142" s="3" t="s">
        <v>108</v>
      </c>
      <c r="I142" s="4">
        <v>6</v>
      </c>
    </row>
    <row r="143" spans="1:9" x14ac:dyDescent="0.25">
      <c r="A143" s="3" t="s">
        <v>131</v>
      </c>
      <c r="B143" s="3" t="s">
        <v>19</v>
      </c>
      <c r="C143" s="3" t="s">
        <v>35</v>
      </c>
      <c r="D143" s="3" t="s">
        <v>36</v>
      </c>
      <c r="E143" s="3" t="s">
        <v>53</v>
      </c>
      <c r="F143" s="3" t="s">
        <v>88</v>
      </c>
      <c r="G143" s="3" t="s">
        <v>19</v>
      </c>
      <c r="H143" s="3" t="s">
        <v>55</v>
      </c>
      <c r="I143" s="4">
        <v>6</v>
      </c>
    </row>
    <row r="144" spans="1:9" x14ac:dyDescent="0.25">
      <c r="A144" s="3" t="s">
        <v>26</v>
      </c>
      <c r="B144" s="3" t="s">
        <v>19</v>
      </c>
      <c r="C144" s="3" t="s">
        <v>35</v>
      </c>
      <c r="D144" s="3" t="s">
        <v>36</v>
      </c>
      <c r="E144" s="3" t="s">
        <v>114</v>
      </c>
      <c r="F144" s="3" t="s">
        <v>88</v>
      </c>
      <c r="G144" s="3" t="s">
        <v>19</v>
      </c>
      <c r="H144" s="3" t="s">
        <v>116</v>
      </c>
      <c r="I144" s="4">
        <v>6</v>
      </c>
    </row>
    <row r="145" spans="1:9" x14ac:dyDescent="0.25">
      <c r="A145" s="3" t="s">
        <v>131</v>
      </c>
      <c r="B145" s="3" t="s">
        <v>19</v>
      </c>
      <c r="C145" s="3" t="s">
        <v>35</v>
      </c>
      <c r="D145" s="3" t="s">
        <v>36</v>
      </c>
      <c r="E145" s="3" t="s">
        <v>268</v>
      </c>
      <c r="F145" s="3" t="s">
        <v>88</v>
      </c>
      <c r="G145" s="3" t="s">
        <v>19</v>
      </c>
      <c r="H145" s="3" t="s">
        <v>269</v>
      </c>
      <c r="I145" s="4">
        <v>6</v>
      </c>
    </row>
    <row r="146" spans="1:9" x14ac:dyDescent="0.25">
      <c r="A146" s="3" t="s">
        <v>131</v>
      </c>
      <c r="B146" s="3" t="s">
        <v>270</v>
      </c>
      <c r="C146" s="3" t="s">
        <v>35</v>
      </c>
      <c r="D146" s="3" t="s">
        <v>36</v>
      </c>
      <c r="E146" s="3" t="s">
        <v>72</v>
      </c>
      <c r="F146" s="3" t="s">
        <v>88</v>
      </c>
      <c r="G146" s="3" t="s">
        <v>16</v>
      </c>
      <c r="H146" s="3" t="s">
        <v>73</v>
      </c>
      <c r="I146" s="4">
        <v>5</v>
      </c>
    </row>
    <row r="147" spans="1:9" x14ac:dyDescent="0.25">
      <c r="A147" s="3" t="s">
        <v>26</v>
      </c>
      <c r="B147" s="3" t="s">
        <v>270</v>
      </c>
      <c r="C147" s="3" t="s">
        <v>35</v>
      </c>
      <c r="D147" s="3" t="s">
        <v>36</v>
      </c>
      <c r="E147" s="3" t="s">
        <v>109</v>
      </c>
      <c r="F147" s="3" t="s">
        <v>88</v>
      </c>
      <c r="G147" s="3" t="s">
        <v>16</v>
      </c>
      <c r="H147" s="3" t="s">
        <v>110</v>
      </c>
      <c r="I147" s="4">
        <v>5</v>
      </c>
    </row>
    <row r="148" spans="1:9" x14ac:dyDescent="0.25">
      <c r="A148" s="3" t="s">
        <v>131</v>
      </c>
      <c r="B148" s="3" t="s">
        <v>270</v>
      </c>
      <c r="C148" s="3" t="s">
        <v>35</v>
      </c>
      <c r="D148" s="3" t="s">
        <v>36</v>
      </c>
      <c r="E148" s="3" t="s">
        <v>63</v>
      </c>
      <c r="F148" s="3" t="s">
        <v>88</v>
      </c>
      <c r="G148" s="3" t="s">
        <v>16</v>
      </c>
      <c r="H148" s="3" t="s">
        <v>65</v>
      </c>
      <c r="I148" s="4">
        <v>5</v>
      </c>
    </row>
    <row r="149" spans="1:9" x14ac:dyDescent="0.25">
      <c r="A149" s="3" t="s">
        <v>131</v>
      </c>
      <c r="B149" s="3" t="s">
        <v>270</v>
      </c>
      <c r="C149" s="3" t="s">
        <v>35</v>
      </c>
      <c r="D149" s="3" t="s">
        <v>36</v>
      </c>
      <c r="E149" s="3" t="s">
        <v>43</v>
      </c>
      <c r="F149" s="3" t="s">
        <v>88</v>
      </c>
      <c r="G149" s="3" t="s">
        <v>16</v>
      </c>
      <c r="H149" s="3" t="s">
        <v>45</v>
      </c>
      <c r="I149" s="4">
        <v>5</v>
      </c>
    </row>
    <row r="150" spans="1:9" x14ac:dyDescent="0.25">
      <c r="A150" s="3" t="s">
        <v>26</v>
      </c>
      <c r="B150" s="3" t="s">
        <v>272</v>
      </c>
      <c r="C150" s="3" t="s">
        <v>35</v>
      </c>
      <c r="D150" s="3" t="s">
        <v>36</v>
      </c>
      <c r="E150" s="3" t="s">
        <v>125</v>
      </c>
      <c r="F150" s="3" t="s">
        <v>88</v>
      </c>
      <c r="G150" s="3" t="s">
        <v>273</v>
      </c>
      <c r="H150" s="3" t="s">
        <v>126</v>
      </c>
      <c r="I150" s="4">
        <v>4</v>
      </c>
    </row>
    <row r="151" spans="1:9" x14ac:dyDescent="0.25">
      <c r="A151" s="3" t="s">
        <v>26</v>
      </c>
      <c r="B151" s="3" t="s">
        <v>272</v>
      </c>
      <c r="C151" s="3" t="s">
        <v>35</v>
      </c>
      <c r="D151" s="3" t="s">
        <v>36</v>
      </c>
      <c r="E151" s="3" t="s">
        <v>78</v>
      </c>
      <c r="F151" s="3" t="s">
        <v>88</v>
      </c>
      <c r="G151" s="3" t="s">
        <v>273</v>
      </c>
      <c r="H151" s="3" t="s">
        <v>79</v>
      </c>
      <c r="I151" s="4">
        <v>4</v>
      </c>
    </row>
    <row r="152" spans="1:9" x14ac:dyDescent="0.25">
      <c r="A152" s="3" t="s">
        <v>131</v>
      </c>
      <c r="B152" s="3" t="s">
        <v>271</v>
      </c>
      <c r="C152" s="3" t="s">
        <v>35</v>
      </c>
      <c r="D152" s="3" t="s">
        <v>36</v>
      </c>
      <c r="E152" s="3" t="s">
        <v>37</v>
      </c>
      <c r="F152" s="3" t="s">
        <v>88</v>
      </c>
      <c r="G152" s="3" t="s">
        <v>273</v>
      </c>
      <c r="H152" s="3" t="s">
        <v>39</v>
      </c>
      <c r="I152" s="4">
        <v>4</v>
      </c>
    </row>
    <row r="153" spans="1:9" x14ac:dyDescent="0.25">
      <c r="A153" s="3" t="s">
        <v>131</v>
      </c>
      <c r="B153" s="3" t="s">
        <v>272</v>
      </c>
      <c r="C153" s="3" t="s">
        <v>35</v>
      </c>
      <c r="D153" s="3" t="s">
        <v>36</v>
      </c>
      <c r="E153" s="3" t="s">
        <v>47</v>
      </c>
      <c r="F153" s="3" t="s">
        <v>88</v>
      </c>
      <c r="G153" s="3" t="s">
        <v>273</v>
      </c>
      <c r="H153" s="3" t="s">
        <v>49</v>
      </c>
      <c r="I153" s="4">
        <v>4</v>
      </c>
    </row>
    <row r="154" spans="1:9" x14ac:dyDescent="0.25">
      <c r="A154" s="3" t="s">
        <v>26</v>
      </c>
      <c r="B154" s="3" t="s">
        <v>272</v>
      </c>
      <c r="C154" s="3" t="s">
        <v>35</v>
      </c>
      <c r="D154" s="3" t="s">
        <v>36</v>
      </c>
      <c r="E154" s="3" t="s">
        <v>141</v>
      </c>
      <c r="F154" s="3" t="s">
        <v>88</v>
      </c>
      <c r="G154" s="3" t="s">
        <v>273</v>
      </c>
      <c r="H154" s="3" t="s">
        <v>142</v>
      </c>
      <c r="I154" s="4">
        <v>4</v>
      </c>
    </row>
    <row r="155" spans="1:9" x14ac:dyDescent="0.25">
      <c r="A155" s="3" t="s">
        <v>26</v>
      </c>
      <c r="B155" s="3" t="s">
        <v>263</v>
      </c>
      <c r="C155" s="3" t="s">
        <v>35</v>
      </c>
      <c r="D155" s="3" t="s">
        <v>36</v>
      </c>
      <c r="E155" s="3" t="s">
        <v>98</v>
      </c>
      <c r="F155" s="3" t="s">
        <v>88</v>
      </c>
      <c r="G155" s="3" t="s">
        <v>263</v>
      </c>
      <c r="H155" s="3" t="s">
        <v>100</v>
      </c>
      <c r="I155" s="4">
        <v>3</v>
      </c>
    </row>
    <row r="156" spans="1:9" x14ac:dyDescent="0.25">
      <c r="A156" s="3" t="s">
        <v>131</v>
      </c>
      <c r="B156" s="3" t="s">
        <v>263</v>
      </c>
      <c r="C156" s="3" t="s">
        <v>35</v>
      </c>
      <c r="D156" s="3" t="s">
        <v>36</v>
      </c>
      <c r="E156" s="3" t="s">
        <v>89</v>
      </c>
      <c r="F156" s="3" t="s">
        <v>88</v>
      </c>
      <c r="G156" s="3" t="s">
        <v>263</v>
      </c>
      <c r="H156" s="3" t="s">
        <v>90</v>
      </c>
      <c r="I156" s="4">
        <v>3</v>
      </c>
    </row>
    <row r="157" spans="1:9" x14ac:dyDescent="0.25">
      <c r="A157" s="3" t="s">
        <v>26</v>
      </c>
      <c r="B157" s="3" t="s">
        <v>263</v>
      </c>
      <c r="C157" s="3" t="s">
        <v>35</v>
      </c>
      <c r="D157" s="3" t="s">
        <v>36</v>
      </c>
      <c r="E157" s="3" t="s">
        <v>75</v>
      </c>
      <c r="F157" s="3" t="s">
        <v>88</v>
      </c>
      <c r="G157" s="3" t="s">
        <v>263</v>
      </c>
      <c r="H157" s="3" t="s">
        <v>77</v>
      </c>
      <c r="I157" s="4">
        <v>3</v>
      </c>
    </row>
    <row r="158" spans="1:9" x14ac:dyDescent="0.25">
      <c r="A158" s="3" t="s">
        <v>26</v>
      </c>
      <c r="B158" s="3" t="s">
        <v>7</v>
      </c>
      <c r="C158" s="3" t="s">
        <v>35</v>
      </c>
      <c r="D158" s="3" t="s">
        <v>36</v>
      </c>
      <c r="E158" s="3" t="s">
        <v>143</v>
      </c>
      <c r="F158" s="3" t="s">
        <v>88</v>
      </c>
      <c r="G158" s="3" t="s">
        <v>7</v>
      </c>
      <c r="H158" s="3" t="s">
        <v>144</v>
      </c>
      <c r="I158" s="4">
        <v>2</v>
      </c>
    </row>
    <row r="159" spans="1:9" x14ac:dyDescent="0.25">
      <c r="A159" s="3" t="s">
        <v>26</v>
      </c>
      <c r="B159" s="3" t="s">
        <v>4</v>
      </c>
      <c r="C159" s="3" t="s">
        <v>35</v>
      </c>
      <c r="D159" s="3" t="s">
        <v>36</v>
      </c>
      <c r="E159" s="3" t="s">
        <v>85</v>
      </c>
      <c r="F159" s="3" t="s">
        <v>88</v>
      </c>
      <c r="G159" s="3" t="s">
        <v>4</v>
      </c>
      <c r="H159" s="3" t="s">
        <v>87</v>
      </c>
      <c r="I159" s="4">
        <v>1</v>
      </c>
    </row>
    <row r="160" spans="1:9" x14ac:dyDescent="0.25">
      <c r="A160" s="3" t="s">
        <v>26</v>
      </c>
      <c r="B160" s="3" t="s">
        <v>4</v>
      </c>
      <c r="C160" s="3" t="s">
        <v>35</v>
      </c>
      <c r="D160" s="3" t="s">
        <v>36</v>
      </c>
      <c r="E160" s="3" t="s">
        <v>81</v>
      </c>
      <c r="F160" s="3" t="s">
        <v>88</v>
      </c>
      <c r="G160" s="3" t="s">
        <v>4</v>
      </c>
      <c r="H160" s="3" t="s">
        <v>83</v>
      </c>
      <c r="I160" s="4">
        <v>1</v>
      </c>
    </row>
    <row r="161" spans="1:9" x14ac:dyDescent="0.25">
      <c r="A161" s="3" t="s">
        <v>111</v>
      </c>
      <c r="B161" s="3" t="s">
        <v>263</v>
      </c>
      <c r="C161" s="3" t="s">
        <v>35</v>
      </c>
      <c r="D161" s="3" t="s">
        <v>36</v>
      </c>
      <c r="E161" s="3" t="s">
        <v>75</v>
      </c>
      <c r="F161" s="3" t="s">
        <v>112</v>
      </c>
      <c r="G161" s="3" t="s">
        <v>263</v>
      </c>
      <c r="H161" s="3" t="s">
        <v>77</v>
      </c>
      <c r="I161" s="4">
        <v>3</v>
      </c>
    </row>
    <row r="162" spans="1:9" x14ac:dyDescent="0.25">
      <c r="A162" s="3" t="s">
        <v>111</v>
      </c>
      <c r="B162" s="3" t="s">
        <v>7</v>
      </c>
      <c r="C162" s="3" t="s">
        <v>35</v>
      </c>
      <c r="D162" s="3" t="s">
        <v>36</v>
      </c>
      <c r="E162" s="3" t="s">
        <v>109</v>
      </c>
      <c r="F162" s="3" t="s">
        <v>112</v>
      </c>
      <c r="G162" s="3" t="s">
        <v>7</v>
      </c>
      <c r="H162" s="3" t="s">
        <v>110</v>
      </c>
      <c r="I162" s="4">
        <v>2</v>
      </c>
    </row>
    <row r="163" spans="1:9" x14ac:dyDescent="0.25">
      <c r="A163" s="3" t="s">
        <v>111</v>
      </c>
      <c r="B163" s="3" t="s">
        <v>7</v>
      </c>
      <c r="C163" s="3" t="s">
        <v>35</v>
      </c>
      <c r="D163" s="3" t="s">
        <v>36</v>
      </c>
      <c r="E163" s="3" t="s">
        <v>81</v>
      </c>
      <c r="F163" s="3" t="s">
        <v>112</v>
      </c>
      <c r="G163" s="3" t="s">
        <v>7</v>
      </c>
      <c r="H163" s="3" t="s">
        <v>83</v>
      </c>
      <c r="I163" s="4">
        <v>2</v>
      </c>
    </row>
    <row r="164" spans="1:9" x14ac:dyDescent="0.25">
      <c r="A164" s="3" t="s">
        <v>111</v>
      </c>
      <c r="B164" s="3" t="s">
        <v>7</v>
      </c>
      <c r="C164" s="3" t="s">
        <v>35</v>
      </c>
      <c r="D164" s="3" t="s">
        <v>36</v>
      </c>
      <c r="E164" s="3" t="s">
        <v>72</v>
      </c>
      <c r="F164" s="3" t="s">
        <v>112</v>
      </c>
      <c r="G164" s="3" t="s">
        <v>7</v>
      </c>
      <c r="H164" s="3" t="s">
        <v>73</v>
      </c>
      <c r="I164" s="4">
        <v>2</v>
      </c>
    </row>
    <row r="165" spans="1:9" x14ac:dyDescent="0.25">
      <c r="A165" s="3" t="s">
        <v>111</v>
      </c>
      <c r="B165" s="3" t="s">
        <v>4</v>
      </c>
      <c r="C165" s="3" t="s">
        <v>35</v>
      </c>
      <c r="D165" s="3" t="s">
        <v>36</v>
      </c>
      <c r="E165" s="3" t="s">
        <v>78</v>
      </c>
      <c r="F165" s="3" t="s">
        <v>112</v>
      </c>
      <c r="G165" s="3" t="s">
        <v>4</v>
      </c>
      <c r="H165" s="3" t="s">
        <v>79</v>
      </c>
      <c r="I165" s="4">
        <v>1</v>
      </c>
    </row>
    <row r="166" spans="1:9" x14ac:dyDescent="0.25">
      <c r="A166" s="3" t="s">
        <v>111</v>
      </c>
      <c r="B166" s="3" t="s">
        <v>4</v>
      </c>
      <c r="C166" s="3" t="s">
        <v>35</v>
      </c>
      <c r="D166" s="3" t="s">
        <v>36</v>
      </c>
      <c r="E166" s="3" t="s">
        <v>85</v>
      </c>
      <c r="F166" s="3" t="s">
        <v>112</v>
      </c>
      <c r="G166" s="3" t="s">
        <v>4</v>
      </c>
      <c r="H166" s="3" t="s">
        <v>87</v>
      </c>
      <c r="I166" s="4">
        <v>1</v>
      </c>
    </row>
    <row r="167" spans="1:9" x14ac:dyDescent="0.25">
      <c r="A167" s="3" t="s">
        <v>183</v>
      </c>
      <c r="B167" s="3" t="s">
        <v>7</v>
      </c>
      <c r="C167" s="3" t="s">
        <v>162</v>
      </c>
      <c r="D167" s="3" t="s">
        <v>163</v>
      </c>
      <c r="E167" s="3" t="s">
        <v>114</v>
      </c>
      <c r="F167" s="3" t="s">
        <v>184</v>
      </c>
      <c r="G167" s="3" t="s">
        <v>7</v>
      </c>
      <c r="H167" s="3" t="s">
        <v>116</v>
      </c>
      <c r="I167" s="4">
        <v>2</v>
      </c>
    </row>
    <row r="168" spans="1:9" x14ac:dyDescent="0.25">
      <c r="A168" s="3" t="s">
        <v>183</v>
      </c>
      <c r="B168" s="3" t="s">
        <v>4</v>
      </c>
      <c r="C168" s="3" t="s">
        <v>162</v>
      </c>
      <c r="D168" s="3" t="s">
        <v>163</v>
      </c>
      <c r="E168" s="3" t="s">
        <v>72</v>
      </c>
      <c r="F168" s="3" t="s">
        <v>184</v>
      </c>
      <c r="G168" s="3" t="s">
        <v>4</v>
      </c>
      <c r="H168" s="3" t="s">
        <v>73</v>
      </c>
      <c r="I168" s="4">
        <v>1</v>
      </c>
    </row>
    <row r="169" spans="1:9" x14ac:dyDescent="0.25">
      <c r="A169" s="3" t="s">
        <v>183</v>
      </c>
      <c r="B169" s="3" t="s">
        <v>4</v>
      </c>
      <c r="C169" s="3" t="s">
        <v>162</v>
      </c>
      <c r="D169" s="3" t="s">
        <v>163</v>
      </c>
      <c r="E169" s="3" t="s">
        <v>63</v>
      </c>
      <c r="F169" s="3" t="s">
        <v>184</v>
      </c>
      <c r="G169" s="3" t="s">
        <v>4</v>
      </c>
      <c r="H169" s="3" t="s">
        <v>65</v>
      </c>
      <c r="I169" s="4">
        <v>1</v>
      </c>
    </row>
    <row r="170" spans="1:9" x14ac:dyDescent="0.25">
      <c r="A170" s="3" t="s">
        <v>183</v>
      </c>
      <c r="B170" s="3" t="s">
        <v>4</v>
      </c>
      <c r="C170" s="3" t="s">
        <v>162</v>
      </c>
      <c r="D170" s="3" t="s">
        <v>163</v>
      </c>
      <c r="E170" s="3" t="s">
        <v>78</v>
      </c>
      <c r="F170" s="3" t="s">
        <v>184</v>
      </c>
      <c r="G170" s="3" t="s">
        <v>4</v>
      </c>
      <c r="H170" s="3" t="s">
        <v>79</v>
      </c>
      <c r="I170" s="4">
        <v>1</v>
      </c>
    </row>
    <row r="171" spans="1:9" x14ac:dyDescent="0.25">
      <c r="A171" s="3" t="s">
        <v>202</v>
      </c>
      <c r="B171" s="3" t="s">
        <v>7</v>
      </c>
      <c r="C171" s="3" t="s">
        <v>145</v>
      </c>
      <c r="D171" s="3" t="s">
        <v>146</v>
      </c>
      <c r="E171" s="3" t="s">
        <v>125</v>
      </c>
      <c r="F171" s="3" t="s">
        <v>203</v>
      </c>
      <c r="G171" s="3" t="s">
        <v>7</v>
      </c>
      <c r="H171" s="3" t="s">
        <v>126</v>
      </c>
      <c r="I171" s="4">
        <v>2</v>
      </c>
    </row>
    <row r="172" spans="1:9" x14ac:dyDescent="0.25">
      <c r="A172" s="3" t="s">
        <v>202</v>
      </c>
      <c r="B172" s="3" t="s">
        <v>4</v>
      </c>
      <c r="C172" s="3" t="s">
        <v>145</v>
      </c>
      <c r="D172" s="3" t="s">
        <v>146</v>
      </c>
      <c r="E172" s="3" t="s">
        <v>85</v>
      </c>
      <c r="F172" s="3" t="s">
        <v>203</v>
      </c>
      <c r="G172" s="3" t="s">
        <v>4</v>
      </c>
      <c r="H172" s="3" t="s">
        <v>87</v>
      </c>
      <c r="I172" s="4">
        <v>1</v>
      </c>
    </row>
    <row r="173" spans="1:9" x14ac:dyDescent="0.25">
      <c r="A173" s="3" t="s">
        <v>202</v>
      </c>
      <c r="B173" s="3" t="s">
        <v>4</v>
      </c>
      <c r="C173" s="3" t="s">
        <v>145</v>
      </c>
      <c r="D173" s="3" t="s">
        <v>146</v>
      </c>
      <c r="E173" s="3" t="s">
        <v>109</v>
      </c>
      <c r="F173" s="3" t="s">
        <v>203</v>
      </c>
      <c r="G173" s="3" t="s">
        <v>4</v>
      </c>
      <c r="H173" s="3" t="s">
        <v>110</v>
      </c>
      <c r="I173" s="4">
        <v>1</v>
      </c>
    </row>
    <row r="174" spans="1:9" x14ac:dyDescent="0.25">
      <c r="A174" s="3" t="s">
        <v>202</v>
      </c>
      <c r="B174" s="3" t="s">
        <v>4</v>
      </c>
      <c r="C174" s="3" t="s">
        <v>145</v>
      </c>
      <c r="D174" s="3" t="s">
        <v>146</v>
      </c>
      <c r="E174" s="3" t="s">
        <v>114</v>
      </c>
      <c r="F174" s="3" t="s">
        <v>203</v>
      </c>
      <c r="G174" s="3" t="s">
        <v>4</v>
      </c>
      <c r="H174" s="3" t="s">
        <v>116</v>
      </c>
      <c r="I174" s="4">
        <v>1</v>
      </c>
    </row>
    <row r="175" spans="1:9" x14ac:dyDescent="0.25">
      <c r="A175" s="3" t="s">
        <v>209</v>
      </c>
      <c r="B175" s="3" t="s">
        <v>7</v>
      </c>
      <c r="C175" s="3" t="s">
        <v>162</v>
      </c>
      <c r="D175" s="3" t="s">
        <v>163</v>
      </c>
      <c r="E175" s="3" t="s">
        <v>141</v>
      </c>
      <c r="F175" s="3" t="s">
        <v>210</v>
      </c>
      <c r="G175" s="3" t="s">
        <v>7</v>
      </c>
      <c r="H175" s="3" t="s">
        <v>142</v>
      </c>
      <c r="I175" s="4">
        <v>2</v>
      </c>
    </row>
    <row r="176" spans="1:9" x14ac:dyDescent="0.25">
      <c r="A176" s="3" t="s">
        <v>209</v>
      </c>
      <c r="B176" s="3" t="s">
        <v>4</v>
      </c>
      <c r="C176" s="3" t="s">
        <v>162</v>
      </c>
      <c r="D176" s="3" t="s">
        <v>163</v>
      </c>
      <c r="E176" s="3" t="s">
        <v>107</v>
      </c>
      <c r="F176" s="3" t="s">
        <v>210</v>
      </c>
      <c r="G176" s="3" t="s">
        <v>4</v>
      </c>
      <c r="H176" s="3" t="s">
        <v>108</v>
      </c>
      <c r="I176" s="4">
        <v>1</v>
      </c>
    </row>
    <row r="177" spans="1:9" x14ac:dyDescent="0.25">
      <c r="A177" s="3" t="s">
        <v>209</v>
      </c>
      <c r="B177" s="3" t="s">
        <v>4</v>
      </c>
      <c r="C177" s="3" t="s">
        <v>162</v>
      </c>
      <c r="D177" s="3" t="s">
        <v>163</v>
      </c>
      <c r="E177" s="3" t="s">
        <v>81</v>
      </c>
      <c r="F177" s="3" t="s">
        <v>210</v>
      </c>
      <c r="G177" s="3" t="s">
        <v>4</v>
      </c>
      <c r="H177" s="3" t="s">
        <v>83</v>
      </c>
      <c r="I177" s="4">
        <v>1</v>
      </c>
    </row>
    <row r="178" spans="1:9" x14ac:dyDescent="0.25">
      <c r="A178" s="3" t="s">
        <v>93</v>
      </c>
      <c r="B178" s="3" t="s">
        <v>19</v>
      </c>
      <c r="C178" s="3" t="s">
        <v>35</v>
      </c>
      <c r="D178" s="3" t="s">
        <v>36</v>
      </c>
      <c r="E178" s="3" t="s">
        <v>43</v>
      </c>
      <c r="F178" s="3" t="s">
        <v>94</v>
      </c>
      <c r="G178" s="3" t="s">
        <v>19</v>
      </c>
      <c r="H178" s="3" t="s">
        <v>45</v>
      </c>
      <c r="I178" s="4">
        <v>6</v>
      </c>
    </row>
    <row r="179" spans="1:9" x14ac:dyDescent="0.25">
      <c r="A179" s="3" t="s">
        <v>93</v>
      </c>
      <c r="B179" s="3" t="s">
        <v>271</v>
      </c>
      <c r="C179" s="3" t="s">
        <v>35</v>
      </c>
      <c r="D179" s="3" t="s">
        <v>36</v>
      </c>
      <c r="E179" s="3" t="s">
        <v>107</v>
      </c>
      <c r="F179" s="3" t="s">
        <v>94</v>
      </c>
      <c r="G179" s="3" t="s">
        <v>273</v>
      </c>
      <c r="H179" s="3" t="s">
        <v>108</v>
      </c>
      <c r="I179" s="4">
        <v>4</v>
      </c>
    </row>
    <row r="180" spans="1:9" x14ac:dyDescent="0.25">
      <c r="A180" s="3" t="s">
        <v>93</v>
      </c>
      <c r="B180" s="3" t="s">
        <v>271</v>
      </c>
      <c r="C180" s="3" t="s">
        <v>35</v>
      </c>
      <c r="D180" s="3" t="s">
        <v>36</v>
      </c>
      <c r="E180" s="3" t="s">
        <v>81</v>
      </c>
      <c r="F180" s="3" t="s">
        <v>94</v>
      </c>
      <c r="G180" s="3" t="s">
        <v>273</v>
      </c>
      <c r="H180" s="3" t="s">
        <v>83</v>
      </c>
      <c r="I180" s="4">
        <v>4</v>
      </c>
    </row>
    <row r="181" spans="1:9" x14ac:dyDescent="0.25">
      <c r="A181" s="3" t="s">
        <v>93</v>
      </c>
      <c r="B181" s="3" t="s">
        <v>263</v>
      </c>
      <c r="C181" s="3" t="s">
        <v>35</v>
      </c>
      <c r="D181" s="3" t="s">
        <v>36</v>
      </c>
      <c r="E181" s="3" t="s">
        <v>109</v>
      </c>
      <c r="F181" s="3" t="s">
        <v>94</v>
      </c>
      <c r="G181" s="3" t="s">
        <v>263</v>
      </c>
      <c r="H181" s="3" t="s">
        <v>110</v>
      </c>
      <c r="I181" s="4">
        <v>3</v>
      </c>
    </row>
    <row r="182" spans="1:9" x14ac:dyDescent="0.25">
      <c r="A182" s="3" t="s">
        <v>93</v>
      </c>
      <c r="B182" s="3" t="s">
        <v>263</v>
      </c>
      <c r="C182" s="3" t="s">
        <v>35</v>
      </c>
      <c r="D182" s="3" t="s">
        <v>36</v>
      </c>
      <c r="E182" s="3" t="s">
        <v>47</v>
      </c>
      <c r="F182" s="3" t="s">
        <v>94</v>
      </c>
      <c r="G182" s="3" t="s">
        <v>263</v>
      </c>
      <c r="H182" s="3" t="s">
        <v>49</v>
      </c>
      <c r="I182" s="4">
        <v>3</v>
      </c>
    </row>
    <row r="183" spans="1:9" x14ac:dyDescent="0.25">
      <c r="A183" s="3" t="s">
        <v>93</v>
      </c>
      <c r="B183" s="3" t="s">
        <v>263</v>
      </c>
      <c r="C183" s="3" t="s">
        <v>35</v>
      </c>
      <c r="D183" s="3" t="s">
        <v>36</v>
      </c>
      <c r="E183" s="3" t="s">
        <v>125</v>
      </c>
      <c r="F183" s="3" t="s">
        <v>94</v>
      </c>
      <c r="G183" s="3" t="s">
        <v>263</v>
      </c>
      <c r="H183" s="3" t="s">
        <v>126</v>
      </c>
      <c r="I183" s="4">
        <v>3</v>
      </c>
    </row>
    <row r="184" spans="1:9" x14ac:dyDescent="0.25">
      <c r="A184" s="3" t="s">
        <v>93</v>
      </c>
      <c r="B184" s="3" t="s">
        <v>263</v>
      </c>
      <c r="C184" s="3" t="s">
        <v>35</v>
      </c>
      <c r="D184" s="3" t="s">
        <v>36</v>
      </c>
      <c r="E184" s="3" t="s">
        <v>89</v>
      </c>
      <c r="F184" s="3" t="s">
        <v>94</v>
      </c>
      <c r="G184" s="3" t="s">
        <v>263</v>
      </c>
      <c r="H184" s="3" t="s">
        <v>90</v>
      </c>
      <c r="I184" s="4">
        <v>3</v>
      </c>
    </row>
    <row r="185" spans="1:9" x14ac:dyDescent="0.25">
      <c r="A185" s="3" t="s">
        <v>93</v>
      </c>
      <c r="B185" s="3" t="s">
        <v>263</v>
      </c>
      <c r="C185" s="3" t="s">
        <v>35</v>
      </c>
      <c r="D185" s="3" t="s">
        <v>36</v>
      </c>
      <c r="E185" s="3" t="s">
        <v>72</v>
      </c>
      <c r="F185" s="3" t="s">
        <v>94</v>
      </c>
      <c r="G185" s="3" t="s">
        <v>263</v>
      </c>
      <c r="H185" s="3" t="s">
        <v>73</v>
      </c>
      <c r="I185" s="4">
        <v>3</v>
      </c>
    </row>
    <row r="186" spans="1:9" x14ac:dyDescent="0.25">
      <c r="A186" s="3" t="s">
        <v>93</v>
      </c>
      <c r="B186" s="3" t="s">
        <v>263</v>
      </c>
      <c r="C186" s="3" t="s">
        <v>35</v>
      </c>
      <c r="D186" s="3" t="s">
        <v>36</v>
      </c>
      <c r="E186" s="3" t="s">
        <v>85</v>
      </c>
      <c r="F186" s="3" t="s">
        <v>94</v>
      </c>
      <c r="G186" s="3" t="s">
        <v>263</v>
      </c>
      <c r="H186" s="3" t="s">
        <v>87</v>
      </c>
      <c r="I186" s="4">
        <v>3</v>
      </c>
    </row>
    <row r="187" spans="1:9" x14ac:dyDescent="0.25">
      <c r="A187" s="3" t="s">
        <v>93</v>
      </c>
      <c r="B187" s="3" t="s">
        <v>263</v>
      </c>
      <c r="C187" s="3" t="s">
        <v>35</v>
      </c>
      <c r="D187" s="3" t="s">
        <v>36</v>
      </c>
      <c r="E187" s="3" t="s">
        <v>268</v>
      </c>
      <c r="F187" s="3" t="s">
        <v>94</v>
      </c>
      <c r="G187" s="3" t="s">
        <v>263</v>
      </c>
      <c r="H187" s="3" t="s">
        <v>269</v>
      </c>
      <c r="I187" s="4">
        <v>3</v>
      </c>
    </row>
    <row r="188" spans="1:9" x14ac:dyDescent="0.25">
      <c r="A188" s="3" t="s">
        <v>93</v>
      </c>
      <c r="B188" s="3" t="s">
        <v>7</v>
      </c>
      <c r="C188" s="3" t="s">
        <v>35</v>
      </c>
      <c r="D188" s="3" t="s">
        <v>36</v>
      </c>
      <c r="E188" s="3" t="s">
        <v>78</v>
      </c>
      <c r="F188" s="3" t="s">
        <v>94</v>
      </c>
      <c r="G188" s="3" t="s">
        <v>7</v>
      </c>
      <c r="H188" s="3" t="s">
        <v>79</v>
      </c>
      <c r="I188" s="4">
        <v>2</v>
      </c>
    </row>
    <row r="189" spans="1:9" x14ac:dyDescent="0.25">
      <c r="A189" s="3" t="s">
        <v>93</v>
      </c>
      <c r="B189" s="3" t="s">
        <v>7</v>
      </c>
      <c r="C189" s="3" t="s">
        <v>35</v>
      </c>
      <c r="D189" s="3" t="s">
        <v>36</v>
      </c>
      <c r="E189" s="3" t="s">
        <v>75</v>
      </c>
      <c r="F189" s="3" t="s">
        <v>94</v>
      </c>
      <c r="G189" s="3" t="s">
        <v>7</v>
      </c>
      <c r="H189" s="3" t="s">
        <v>77</v>
      </c>
      <c r="I189" s="4">
        <v>2</v>
      </c>
    </row>
    <row r="190" spans="1:9" x14ac:dyDescent="0.25">
      <c r="A190" s="3" t="s">
        <v>93</v>
      </c>
      <c r="B190" s="3" t="s">
        <v>4</v>
      </c>
      <c r="C190" s="3" t="s">
        <v>35</v>
      </c>
      <c r="D190" s="3" t="s">
        <v>36</v>
      </c>
      <c r="E190" s="3" t="s">
        <v>63</v>
      </c>
      <c r="F190" s="3" t="s">
        <v>94</v>
      </c>
      <c r="G190" s="3" t="s">
        <v>4</v>
      </c>
      <c r="H190" s="3" t="s">
        <v>65</v>
      </c>
      <c r="I190" s="4">
        <v>1</v>
      </c>
    </row>
    <row r="191" spans="1:9" x14ac:dyDescent="0.25">
      <c r="A191" s="3" t="s">
        <v>93</v>
      </c>
      <c r="B191" s="3" t="s">
        <v>4</v>
      </c>
      <c r="C191" s="3" t="s">
        <v>35</v>
      </c>
      <c r="D191" s="3" t="s">
        <v>36</v>
      </c>
      <c r="E191" s="3" t="s">
        <v>114</v>
      </c>
      <c r="F191" s="3" t="s">
        <v>94</v>
      </c>
      <c r="G191" s="3" t="s">
        <v>4</v>
      </c>
      <c r="H191" s="3" t="s">
        <v>116</v>
      </c>
      <c r="I191" s="4">
        <v>1</v>
      </c>
    </row>
    <row r="192" spans="1:9" x14ac:dyDescent="0.25">
      <c r="A192" s="3" t="s">
        <v>93</v>
      </c>
      <c r="B192" s="3" t="s">
        <v>4</v>
      </c>
      <c r="C192" s="3" t="s">
        <v>35</v>
      </c>
      <c r="D192" s="3" t="s">
        <v>36</v>
      </c>
      <c r="E192" s="3" t="s">
        <v>37</v>
      </c>
      <c r="F192" s="3" t="s">
        <v>94</v>
      </c>
      <c r="G192" s="3" t="s">
        <v>4</v>
      </c>
      <c r="H192" s="3" t="s">
        <v>39</v>
      </c>
      <c r="I192" s="4">
        <v>1</v>
      </c>
    </row>
    <row r="193" spans="1:9" x14ac:dyDescent="0.25">
      <c r="A193" s="3" t="s">
        <v>93</v>
      </c>
      <c r="B193" s="3" t="s">
        <v>4</v>
      </c>
      <c r="C193" s="3" t="s">
        <v>35</v>
      </c>
      <c r="D193" s="3" t="s">
        <v>36</v>
      </c>
      <c r="E193" s="3" t="s">
        <v>266</v>
      </c>
      <c r="F193" s="3" t="s">
        <v>94</v>
      </c>
      <c r="G193" s="3" t="s">
        <v>4</v>
      </c>
      <c r="H193" s="3" t="s">
        <v>267</v>
      </c>
      <c r="I193" s="4">
        <v>1</v>
      </c>
    </row>
    <row r="194" spans="1:9" x14ac:dyDescent="0.25">
      <c r="A194" s="3" t="s">
        <v>62</v>
      </c>
      <c r="B194" s="3" t="s">
        <v>19</v>
      </c>
      <c r="C194" s="3" t="s">
        <v>35</v>
      </c>
      <c r="D194" s="3" t="s">
        <v>36</v>
      </c>
      <c r="E194" s="3" t="s">
        <v>78</v>
      </c>
      <c r="F194" s="3" t="s">
        <v>64</v>
      </c>
      <c r="G194" s="3" t="s">
        <v>19</v>
      </c>
      <c r="H194" s="3" t="s">
        <v>79</v>
      </c>
      <c r="I194" s="4">
        <v>6</v>
      </c>
    </row>
    <row r="195" spans="1:9" x14ac:dyDescent="0.25">
      <c r="A195" s="3" t="s">
        <v>62</v>
      </c>
      <c r="B195" s="3" t="s">
        <v>263</v>
      </c>
      <c r="C195" s="3" t="s">
        <v>35</v>
      </c>
      <c r="D195" s="3" t="s">
        <v>36</v>
      </c>
      <c r="E195" s="3" t="s">
        <v>98</v>
      </c>
      <c r="F195" s="3" t="s">
        <v>64</v>
      </c>
      <c r="G195" s="3" t="s">
        <v>263</v>
      </c>
      <c r="H195" s="3" t="s">
        <v>100</v>
      </c>
      <c r="I195" s="4">
        <v>3</v>
      </c>
    </row>
    <row r="196" spans="1:9" x14ac:dyDescent="0.25">
      <c r="A196" s="3" t="s">
        <v>62</v>
      </c>
      <c r="B196" s="3" t="s">
        <v>263</v>
      </c>
      <c r="C196" s="3" t="s">
        <v>35</v>
      </c>
      <c r="D196" s="3" t="s">
        <v>36</v>
      </c>
      <c r="E196" s="3" t="s">
        <v>72</v>
      </c>
      <c r="F196" s="3" t="s">
        <v>64</v>
      </c>
      <c r="G196" s="3" t="s">
        <v>263</v>
      </c>
      <c r="H196" s="3" t="s">
        <v>73</v>
      </c>
      <c r="I196" s="4">
        <v>3</v>
      </c>
    </row>
    <row r="197" spans="1:9" x14ac:dyDescent="0.25">
      <c r="A197" s="3" t="s">
        <v>62</v>
      </c>
      <c r="B197" s="3" t="s">
        <v>263</v>
      </c>
      <c r="C197" s="3" t="s">
        <v>35</v>
      </c>
      <c r="D197" s="3" t="s">
        <v>36</v>
      </c>
      <c r="E197" s="3" t="s">
        <v>109</v>
      </c>
      <c r="F197" s="3" t="s">
        <v>64</v>
      </c>
      <c r="G197" s="3" t="s">
        <v>263</v>
      </c>
      <c r="H197" s="3" t="s">
        <v>110</v>
      </c>
      <c r="I197" s="4">
        <v>3</v>
      </c>
    </row>
    <row r="198" spans="1:9" x14ac:dyDescent="0.25">
      <c r="A198" s="3" t="s">
        <v>62</v>
      </c>
      <c r="B198" s="3" t="s">
        <v>263</v>
      </c>
      <c r="C198" s="3" t="s">
        <v>35</v>
      </c>
      <c r="D198" s="3" t="s">
        <v>36</v>
      </c>
      <c r="E198" s="3" t="s">
        <v>141</v>
      </c>
      <c r="F198" s="3" t="s">
        <v>64</v>
      </c>
      <c r="G198" s="3" t="s">
        <v>263</v>
      </c>
      <c r="H198" s="3" t="s">
        <v>142</v>
      </c>
      <c r="I198" s="4">
        <v>3</v>
      </c>
    </row>
    <row r="199" spans="1:9" x14ac:dyDescent="0.25">
      <c r="A199" s="3" t="s">
        <v>62</v>
      </c>
      <c r="B199" s="3" t="s">
        <v>7</v>
      </c>
      <c r="C199" s="3" t="s">
        <v>35</v>
      </c>
      <c r="D199" s="3" t="s">
        <v>36</v>
      </c>
      <c r="E199" s="3" t="s">
        <v>85</v>
      </c>
      <c r="F199" s="3" t="s">
        <v>64</v>
      </c>
      <c r="G199" s="3" t="s">
        <v>7</v>
      </c>
      <c r="H199" s="3" t="s">
        <v>87</v>
      </c>
      <c r="I199" s="4">
        <v>2</v>
      </c>
    </row>
    <row r="200" spans="1:9" x14ac:dyDescent="0.25">
      <c r="A200" s="3" t="s">
        <v>62</v>
      </c>
      <c r="B200" s="3" t="s">
        <v>7</v>
      </c>
      <c r="C200" s="3" t="s">
        <v>35</v>
      </c>
      <c r="D200" s="3" t="s">
        <v>36</v>
      </c>
      <c r="E200" s="3" t="s">
        <v>125</v>
      </c>
      <c r="F200" s="3" t="s">
        <v>64</v>
      </c>
      <c r="G200" s="3" t="s">
        <v>7</v>
      </c>
      <c r="H200" s="3" t="s">
        <v>126</v>
      </c>
      <c r="I200" s="4">
        <v>2</v>
      </c>
    </row>
    <row r="201" spans="1:9" x14ac:dyDescent="0.25">
      <c r="A201" s="3" t="s">
        <v>62</v>
      </c>
      <c r="B201" s="3" t="s">
        <v>7</v>
      </c>
      <c r="C201" s="3" t="s">
        <v>35</v>
      </c>
      <c r="D201" s="3" t="s">
        <v>36</v>
      </c>
      <c r="E201" s="3" t="s">
        <v>81</v>
      </c>
      <c r="F201" s="3" t="s">
        <v>64</v>
      </c>
      <c r="G201" s="3" t="s">
        <v>7</v>
      </c>
      <c r="H201" s="3" t="s">
        <v>83</v>
      </c>
      <c r="I201" s="4">
        <v>2</v>
      </c>
    </row>
    <row r="202" spans="1:9" x14ac:dyDescent="0.25">
      <c r="A202" s="3" t="s">
        <v>62</v>
      </c>
      <c r="B202" s="3" t="s">
        <v>7</v>
      </c>
      <c r="C202" s="3" t="s">
        <v>35</v>
      </c>
      <c r="D202" s="3" t="s">
        <v>36</v>
      </c>
      <c r="E202" s="3" t="s">
        <v>107</v>
      </c>
      <c r="F202" s="3" t="s">
        <v>64</v>
      </c>
      <c r="G202" s="3" t="s">
        <v>7</v>
      </c>
      <c r="H202" s="3" t="s">
        <v>108</v>
      </c>
      <c r="I202" s="4">
        <v>2</v>
      </c>
    </row>
    <row r="203" spans="1:9" x14ac:dyDescent="0.25">
      <c r="A203" s="3" t="s">
        <v>62</v>
      </c>
      <c r="B203" s="3" t="s">
        <v>4</v>
      </c>
      <c r="C203" s="3" t="s">
        <v>35</v>
      </c>
      <c r="D203" s="3" t="s">
        <v>36</v>
      </c>
      <c r="E203" s="3" t="s">
        <v>63</v>
      </c>
      <c r="F203" s="3" t="s">
        <v>64</v>
      </c>
      <c r="G203" s="3" t="s">
        <v>4</v>
      </c>
      <c r="H203" s="3" t="s">
        <v>65</v>
      </c>
      <c r="I203" s="4">
        <v>1</v>
      </c>
    </row>
    <row r="204" spans="1:9" x14ac:dyDescent="0.25">
      <c r="A204" s="3" t="s">
        <v>62</v>
      </c>
      <c r="B204" s="3" t="s">
        <v>4</v>
      </c>
      <c r="C204" s="3" t="s">
        <v>35</v>
      </c>
      <c r="D204" s="3" t="s">
        <v>36</v>
      </c>
      <c r="E204" s="3" t="s">
        <v>266</v>
      </c>
      <c r="F204" s="3" t="s">
        <v>64</v>
      </c>
      <c r="G204" s="3" t="s">
        <v>4</v>
      </c>
      <c r="H204" s="3" t="s">
        <v>267</v>
      </c>
      <c r="I204" s="4">
        <v>1</v>
      </c>
    </row>
    <row r="205" spans="1:9" x14ac:dyDescent="0.25">
      <c r="A205" s="3" t="s">
        <v>62</v>
      </c>
      <c r="B205" s="3" t="s">
        <v>4</v>
      </c>
      <c r="C205" s="3" t="s">
        <v>35</v>
      </c>
      <c r="D205" s="3" t="s">
        <v>36</v>
      </c>
      <c r="E205" s="3" t="s">
        <v>89</v>
      </c>
      <c r="F205" s="3" t="s">
        <v>64</v>
      </c>
      <c r="G205" s="3" t="s">
        <v>4</v>
      </c>
      <c r="H205" s="3" t="s">
        <v>90</v>
      </c>
      <c r="I205" s="4">
        <v>1</v>
      </c>
    </row>
    <row r="206" spans="1:9" x14ac:dyDescent="0.25">
      <c r="A206" s="3" t="s">
        <v>62</v>
      </c>
      <c r="B206" s="3" t="s">
        <v>4</v>
      </c>
      <c r="C206" s="3" t="s">
        <v>35</v>
      </c>
      <c r="D206" s="3" t="s">
        <v>36</v>
      </c>
      <c r="E206" s="3" t="s">
        <v>60</v>
      </c>
      <c r="F206" s="3" t="s">
        <v>64</v>
      </c>
      <c r="G206" s="3" t="s">
        <v>4</v>
      </c>
      <c r="H206" s="3" t="s">
        <v>61</v>
      </c>
      <c r="I206" s="4">
        <v>1</v>
      </c>
    </row>
    <row r="207" spans="1:9" x14ac:dyDescent="0.25">
      <c r="A207" s="3" t="s">
        <v>62</v>
      </c>
      <c r="B207" s="3" t="s">
        <v>4</v>
      </c>
      <c r="C207" s="3" t="s">
        <v>35</v>
      </c>
      <c r="D207" s="3" t="s">
        <v>36</v>
      </c>
      <c r="E207" s="3" t="s">
        <v>43</v>
      </c>
      <c r="F207" s="3" t="s">
        <v>64</v>
      </c>
      <c r="G207" s="3" t="s">
        <v>4</v>
      </c>
      <c r="H207" s="3" t="s">
        <v>45</v>
      </c>
      <c r="I207" s="4">
        <v>1</v>
      </c>
    </row>
    <row r="208" spans="1:9" x14ac:dyDescent="0.25">
      <c r="A208" s="3" t="s">
        <v>62</v>
      </c>
      <c r="B208" s="3" t="s">
        <v>4</v>
      </c>
      <c r="C208" s="3" t="s">
        <v>35</v>
      </c>
      <c r="D208" s="3" t="s">
        <v>36</v>
      </c>
      <c r="E208" s="3" t="s">
        <v>114</v>
      </c>
      <c r="F208" s="3" t="s">
        <v>64</v>
      </c>
      <c r="G208" s="3" t="s">
        <v>4</v>
      </c>
      <c r="H208" s="3" t="s">
        <v>116</v>
      </c>
      <c r="I208" s="4">
        <v>1</v>
      </c>
    </row>
    <row r="209" spans="1:9" x14ac:dyDescent="0.25">
      <c r="A209" s="3" t="s">
        <v>62</v>
      </c>
      <c r="B209" s="3" t="s">
        <v>4</v>
      </c>
      <c r="C209" s="3" t="s">
        <v>35</v>
      </c>
      <c r="D209" s="3" t="s">
        <v>36</v>
      </c>
      <c r="E209" s="3" t="s">
        <v>75</v>
      </c>
      <c r="F209" s="3" t="s">
        <v>64</v>
      </c>
      <c r="G209" s="3" t="s">
        <v>4</v>
      </c>
      <c r="H209" s="3" t="s">
        <v>77</v>
      </c>
      <c r="I209" s="4">
        <v>1</v>
      </c>
    </row>
    <row r="210" spans="1:9" x14ac:dyDescent="0.25">
      <c r="A210" s="3" t="s">
        <v>42</v>
      </c>
      <c r="B210" s="3" t="s">
        <v>19</v>
      </c>
      <c r="C210" s="3" t="s">
        <v>35</v>
      </c>
      <c r="D210" s="3" t="s">
        <v>36</v>
      </c>
      <c r="E210" s="3" t="s">
        <v>81</v>
      </c>
      <c r="F210" s="3" t="s">
        <v>44</v>
      </c>
      <c r="G210" s="3" t="s">
        <v>19</v>
      </c>
      <c r="H210" s="3" t="s">
        <v>83</v>
      </c>
      <c r="I210" s="4">
        <v>6</v>
      </c>
    </row>
    <row r="211" spans="1:9" x14ac:dyDescent="0.25">
      <c r="A211" s="3" t="s">
        <v>42</v>
      </c>
      <c r="B211" s="3" t="s">
        <v>19</v>
      </c>
      <c r="C211" s="3" t="s">
        <v>35</v>
      </c>
      <c r="D211" s="3" t="s">
        <v>36</v>
      </c>
      <c r="E211" s="3" t="s">
        <v>75</v>
      </c>
      <c r="F211" s="3" t="s">
        <v>44</v>
      </c>
      <c r="G211" s="3" t="s">
        <v>19</v>
      </c>
      <c r="H211" s="3" t="s">
        <v>77</v>
      </c>
      <c r="I211" s="4">
        <v>6</v>
      </c>
    </row>
    <row r="212" spans="1:9" x14ac:dyDescent="0.25">
      <c r="A212" s="3" t="s">
        <v>42</v>
      </c>
      <c r="B212" s="3" t="s">
        <v>270</v>
      </c>
      <c r="C212" s="3" t="s">
        <v>35</v>
      </c>
      <c r="D212" s="3" t="s">
        <v>36</v>
      </c>
      <c r="E212" s="3" t="s">
        <v>125</v>
      </c>
      <c r="F212" s="3" t="s">
        <v>44</v>
      </c>
      <c r="G212" s="3" t="s">
        <v>16</v>
      </c>
      <c r="H212" s="3" t="s">
        <v>126</v>
      </c>
      <c r="I212" s="4">
        <v>5</v>
      </c>
    </row>
    <row r="213" spans="1:9" x14ac:dyDescent="0.25">
      <c r="A213" s="3" t="s">
        <v>42</v>
      </c>
      <c r="B213" s="3" t="s">
        <v>270</v>
      </c>
      <c r="C213" s="3" t="s">
        <v>35</v>
      </c>
      <c r="D213" s="3" t="s">
        <v>36</v>
      </c>
      <c r="E213" s="3" t="s">
        <v>85</v>
      </c>
      <c r="F213" s="3" t="s">
        <v>44</v>
      </c>
      <c r="G213" s="3" t="s">
        <v>16</v>
      </c>
      <c r="H213" s="3" t="s">
        <v>87</v>
      </c>
      <c r="I213" s="4">
        <v>5</v>
      </c>
    </row>
    <row r="214" spans="1:9" x14ac:dyDescent="0.25">
      <c r="A214" s="3" t="s">
        <v>42</v>
      </c>
      <c r="B214" s="3" t="s">
        <v>271</v>
      </c>
      <c r="C214" s="3" t="s">
        <v>35</v>
      </c>
      <c r="D214" s="3" t="s">
        <v>36</v>
      </c>
      <c r="E214" s="3" t="s">
        <v>63</v>
      </c>
      <c r="F214" s="3" t="s">
        <v>44</v>
      </c>
      <c r="G214" s="3" t="s">
        <v>273</v>
      </c>
      <c r="H214" s="3" t="s">
        <v>65</v>
      </c>
      <c r="I214" s="4">
        <v>4</v>
      </c>
    </row>
    <row r="215" spans="1:9" x14ac:dyDescent="0.25">
      <c r="A215" s="3" t="s">
        <v>42</v>
      </c>
      <c r="B215" s="3" t="s">
        <v>272</v>
      </c>
      <c r="C215" s="3" t="s">
        <v>35</v>
      </c>
      <c r="D215" s="3" t="s">
        <v>36</v>
      </c>
      <c r="E215" s="3" t="s">
        <v>72</v>
      </c>
      <c r="F215" s="3" t="s">
        <v>44</v>
      </c>
      <c r="G215" s="3" t="s">
        <v>273</v>
      </c>
      <c r="H215" s="3" t="s">
        <v>73</v>
      </c>
      <c r="I215" s="4">
        <v>4</v>
      </c>
    </row>
    <row r="216" spans="1:9" x14ac:dyDescent="0.25">
      <c r="A216" s="3" t="s">
        <v>42</v>
      </c>
      <c r="B216" s="3" t="s">
        <v>272</v>
      </c>
      <c r="C216" s="3" t="s">
        <v>35</v>
      </c>
      <c r="D216" s="3" t="s">
        <v>36</v>
      </c>
      <c r="E216" s="3" t="s">
        <v>37</v>
      </c>
      <c r="F216" s="3" t="s">
        <v>44</v>
      </c>
      <c r="G216" s="3" t="s">
        <v>273</v>
      </c>
      <c r="H216" s="3" t="s">
        <v>39</v>
      </c>
      <c r="I216" s="4">
        <v>4</v>
      </c>
    </row>
    <row r="217" spans="1:9" x14ac:dyDescent="0.25">
      <c r="A217" s="3" t="s">
        <v>42</v>
      </c>
      <c r="B217" s="3" t="s">
        <v>263</v>
      </c>
      <c r="C217" s="3" t="s">
        <v>35</v>
      </c>
      <c r="D217" s="3" t="s">
        <v>36</v>
      </c>
      <c r="E217" s="3" t="s">
        <v>114</v>
      </c>
      <c r="F217" s="3" t="s">
        <v>44</v>
      </c>
      <c r="G217" s="3" t="s">
        <v>263</v>
      </c>
      <c r="H217" s="3" t="s">
        <v>116</v>
      </c>
      <c r="I217" s="4">
        <v>3</v>
      </c>
    </row>
    <row r="218" spans="1:9" x14ac:dyDescent="0.25">
      <c r="A218" s="3" t="s">
        <v>42</v>
      </c>
      <c r="B218" s="3" t="s">
        <v>263</v>
      </c>
      <c r="C218" s="3" t="s">
        <v>35</v>
      </c>
      <c r="D218" s="3" t="s">
        <v>36</v>
      </c>
      <c r="E218" s="3" t="s">
        <v>143</v>
      </c>
      <c r="F218" s="3" t="s">
        <v>44</v>
      </c>
      <c r="G218" s="3" t="s">
        <v>263</v>
      </c>
      <c r="H218" s="3" t="s">
        <v>144</v>
      </c>
      <c r="I218" s="4">
        <v>3</v>
      </c>
    </row>
    <row r="219" spans="1:9" x14ac:dyDescent="0.25">
      <c r="A219" s="3" t="s">
        <v>42</v>
      </c>
      <c r="B219" s="3" t="s">
        <v>7</v>
      </c>
      <c r="C219" s="3" t="s">
        <v>35</v>
      </c>
      <c r="D219" s="3" t="s">
        <v>36</v>
      </c>
      <c r="E219" s="3" t="s">
        <v>141</v>
      </c>
      <c r="F219" s="3" t="s">
        <v>44</v>
      </c>
      <c r="G219" s="3" t="s">
        <v>7</v>
      </c>
      <c r="H219" s="3" t="s">
        <v>142</v>
      </c>
      <c r="I219" s="4">
        <v>2</v>
      </c>
    </row>
    <row r="220" spans="1:9" x14ac:dyDescent="0.25">
      <c r="A220" s="3" t="s">
        <v>42</v>
      </c>
      <c r="B220" s="3" t="s">
        <v>4</v>
      </c>
      <c r="C220" s="3" t="s">
        <v>35</v>
      </c>
      <c r="D220" s="3" t="s">
        <v>36</v>
      </c>
      <c r="E220" s="3" t="s">
        <v>43</v>
      </c>
      <c r="F220" s="3" t="s">
        <v>44</v>
      </c>
      <c r="G220" s="3" t="s">
        <v>4</v>
      </c>
      <c r="H220" s="3" t="s">
        <v>45</v>
      </c>
      <c r="I220" s="4">
        <v>1</v>
      </c>
    </row>
    <row r="221" spans="1:9" x14ac:dyDescent="0.25">
      <c r="A221" s="3" t="s">
        <v>42</v>
      </c>
      <c r="B221" s="3" t="s">
        <v>4</v>
      </c>
      <c r="C221" s="3" t="s">
        <v>35</v>
      </c>
      <c r="D221" s="3" t="s">
        <v>36</v>
      </c>
      <c r="E221" s="3" t="s">
        <v>60</v>
      </c>
      <c r="F221" s="3" t="s">
        <v>44</v>
      </c>
      <c r="G221" s="3" t="s">
        <v>4</v>
      </c>
      <c r="H221" s="3" t="s">
        <v>61</v>
      </c>
      <c r="I221" s="4">
        <v>1</v>
      </c>
    </row>
    <row r="222" spans="1:9" x14ac:dyDescent="0.25">
      <c r="A222" s="3" t="s">
        <v>42</v>
      </c>
      <c r="B222" s="3" t="s">
        <v>4</v>
      </c>
      <c r="C222" s="3" t="s">
        <v>35</v>
      </c>
      <c r="D222" s="3" t="s">
        <v>36</v>
      </c>
      <c r="E222" s="3" t="s">
        <v>78</v>
      </c>
      <c r="F222" s="3" t="s">
        <v>44</v>
      </c>
      <c r="G222" s="3" t="s">
        <v>4</v>
      </c>
      <c r="H222" s="3" t="s">
        <v>79</v>
      </c>
      <c r="I222" s="4">
        <v>1</v>
      </c>
    </row>
    <row r="223" spans="1:9" x14ac:dyDescent="0.25">
      <c r="A223" s="3" t="s">
        <v>42</v>
      </c>
      <c r="B223" s="3" t="s">
        <v>4</v>
      </c>
      <c r="C223" s="3" t="s">
        <v>35</v>
      </c>
      <c r="D223" s="3" t="s">
        <v>36</v>
      </c>
      <c r="E223" s="3" t="s">
        <v>109</v>
      </c>
      <c r="F223" s="3" t="s">
        <v>44</v>
      </c>
      <c r="G223" s="3" t="s">
        <v>4</v>
      </c>
      <c r="H223" s="3" t="s">
        <v>110</v>
      </c>
      <c r="I223" s="4">
        <v>1</v>
      </c>
    </row>
    <row r="224" spans="1:9" x14ac:dyDescent="0.25">
      <c r="A224" s="3" t="s">
        <v>42</v>
      </c>
      <c r="B224" s="3" t="s">
        <v>4</v>
      </c>
      <c r="C224" s="3" t="s">
        <v>35</v>
      </c>
      <c r="D224" s="3" t="s">
        <v>36</v>
      </c>
      <c r="E224" s="3" t="s">
        <v>119</v>
      </c>
      <c r="F224" s="3" t="s">
        <v>44</v>
      </c>
      <c r="G224" s="3" t="s">
        <v>4</v>
      </c>
      <c r="H224" s="3" t="s">
        <v>120</v>
      </c>
      <c r="I224" s="4">
        <v>1</v>
      </c>
    </row>
    <row r="225" spans="1:9" x14ac:dyDescent="0.25">
      <c r="A225" s="3" t="s">
        <v>42</v>
      </c>
      <c r="B225" s="3" t="s">
        <v>4</v>
      </c>
      <c r="C225" s="3" t="s">
        <v>35</v>
      </c>
      <c r="D225" s="3" t="s">
        <v>36</v>
      </c>
      <c r="E225" s="3" t="s">
        <v>268</v>
      </c>
      <c r="F225" s="3" t="s">
        <v>44</v>
      </c>
      <c r="G225" s="3" t="s">
        <v>4</v>
      </c>
      <c r="H225" s="3" t="s">
        <v>269</v>
      </c>
      <c r="I225" s="4">
        <v>1</v>
      </c>
    </row>
    <row r="226" spans="1:9" x14ac:dyDescent="0.25">
      <c r="A226" s="3" t="s">
        <v>181</v>
      </c>
      <c r="B226" s="3" t="s">
        <v>263</v>
      </c>
      <c r="C226" s="3" t="s">
        <v>162</v>
      </c>
      <c r="D226" s="3" t="s">
        <v>163</v>
      </c>
      <c r="E226" s="3" t="s">
        <v>78</v>
      </c>
      <c r="F226" s="3" t="s">
        <v>182</v>
      </c>
      <c r="G226" s="3" t="s">
        <v>263</v>
      </c>
      <c r="H226" s="3" t="s">
        <v>79</v>
      </c>
      <c r="I226" s="4">
        <v>3</v>
      </c>
    </row>
    <row r="227" spans="1:9" x14ac:dyDescent="0.25">
      <c r="A227" s="3" t="s">
        <v>181</v>
      </c>
      <c r="B227" s="3" t="s">
        <v>7</v>
      </c>
      <c r="C227" s="3" t="s">
        <v>162</v>
      </c>
      <c r="D227" s="3" t="s">
        <v>163</v>
      </c>
      <c r="E227" s="3" t="s">
        <v>125</v>
      </c>
      <c r="F227" s="3" t="s">
        <v>182</v>
      </c>
      <c r="G227" s="3" t="s">
        <v>7</v>
      </c>
      <c r="H227" s="3" t="s">
        <v>126</v>
      </c>
      <c r="I227" s="4">
        <v>2</v>
      </c>
    </row>
    <row r="228" spans="1:9" x14ac:dyDescent="0.25">
      <c r="A228" s="3" t="s">
        <v>181</v>
      </c>
      <c r="B228" s="3" t="s">
        <v>4</v>
      </c>
      <c r="C228" s="3" t="s">
        <v>162</v>
      </c>
      <c r="D228" s="3" t="s">
        <v>163</v>
      </c>
      <c r="E228" s="3" t="s">
        <v>114</v>
      </c>
      <c r="F228" s="3" t="s">
        <v>182</v>
      </c>
      <c r="G228" s="3" t="s">
        <v>4</v>
      </c>
      <c r="H228" s="3" t="s">
        <v>116</v>
      </c>
      <c r="I228" s="4">
        <v>1</v>
      </c>
    </row>
    <row r="229" spans="1:9" x14ac:dyDescent="0.25">
      <c r="A229" s="3" t="s">
        <v>181</v>
      </c>
      <c r="B229" s="3" t="s">
        <v>4</v>
      </c>
      <c r="C229" s="3" t="s">
        <v>162</v>
      </c>
      <c r="D229" s="3" t="s">
        <v>163</v>
      </c>
      <c r="E229" s="3" t="s">
        <v>85</v>
      </c>
      <c r="F229" s="3" t="s">
        <v>182</v>
      </c>
      <c r="G229" s="3" t="s">
        <v>4</v>
      </c>
      <c r="H229" s="3" t="s">
        <v>87</v>
      </c>
      <c r="I229" s="4">
        <v>1</v>
      </c>
    </row>
    <row r="230" spans="1:9" x14ac:dyDescent="0.25">
      <c r="A230" s="3" t="s">
        <v>123</v>
      </c>
      <c r="B230" s="3" t="s">
        <v>7</v>
      </c>
      <c r="C230" s="3" t="s">
        <v>35</v>
      </c>
      <c r="D230" s="3" t="s">
        <v>36</v>
      </c>
      <c r="E230" s="3" t="s">
        <v>114</v>
      </c>
      <c r="F230" s="3" t="s">
        <v>124</v>
      </c>
      <c r="G230" s="3" t="s">
        <v>7</v>
      </c>
      <c r="H230" s="3" t="s">
        <v>116</v>
      </c>
      <c r="I230" s="4">
        <v>2</v>
      </c>
    </row>
    <row r="231" spans="1:9" x14ac:dyDescent="0.25">
      <c r="A231" s="3" t="s">
        <v>123</v>
      </c>
      <c r="B231" s="3" t="s">
        <v>4</v>
      </c>
      <c r="C231" s="3" t="s">
        <v>35</v>
      </c>
      <c r="D231" s="3" t="s">
        <v>36</v>
      </c>
      <c r="E231" s="3" t="s">
        <v>98</v>
      </c>
      <c r="F231" s="3" t="s">
        <v>124</v>
      </c>
      <c r="G231" s="3" t="s">
        <v>4</v>
      </c>
      <c r="H231" s="3" t="s">
        <v>100</v>
      </c>
      <c r="I231" s="4">
        <v>1</v>
      </c>
    </row>
    <row r="232" spans="1:9" x14ac:dyDescent="0.25">
      <c r="A232" s="3" t="s">
        <v>123</v>
      </c>
      <c r="B232" s="3" t="s">
        <v>4</v>
      </c>
      <c r="C232" s="3" t="s">
        <v>35</v>
      </c>
      <c r="D232" s="3" t="s">
        <v>36</v>
      </c>
      <c r="E232" s="3" t="s">
        <v>78</v>
      </c>
      <c r="F232" s="3" t="s">
        <v>124</v>
      </c>
      <c r="G232" s="3" t="s">
        <v>4</v>
      </c>
      <c r="H232" s="3" t="s">
        <v>79</v>
      </c>
      <c r="I232" s="4">
        <v>1</v>
      </c>
    </row>
    <row r="233" spans="1:9" x14ac:dyDescent="0.25">
      <c r="A233" s="3" t="s">
        <v>218</v>
      </c>
      <c r="B233" s="3" t="s">
        <v>4</v>
      </c>
      <c r="C233" s="3" t="s">
        <v>188</v>
      </c>
      <c r="D233" s="3" t="s">
        <v>171</v>
      </c>
      <c r="E233" s="3" t="s">
        <v>63</v>
      </c>
      <c r="F233" s="3" t="s">
        <v>219</v>
      </c>
      <c r="G233" s="3" t="s">
        <v>4</v>
      </c>
      <c r="H233" s="3" t="s">
        <v>65</v>
      </c>
      <c r="I233" s="4">
        <v>1</v>
      </c>
    </row>
    <row r="234" spans="1:9" x14ac:dyDescent="0.25">
      <c r="A234" s="3" t="s">
        <v>218</v>
      </c>
      <c r="B234" s="3" t="s">
        <v>4</v>
      </c>
      <c r="C234" s="3" t="s">
        <v>188</v>
      </c>
      <c r="D234" s="3" t="s">
        <v>171</v>
      </c>
      <c r="E234" s="3" t="s">
        <v>114</v>
      </c>
      <c r="F234" s="3" t="s">
        <v>219</v>
      </c>
      <c r="G234" s="3" t="s">
        <v>4</v>
      </c>
      <c r="H234" s="3" t="s">
        <v>116</v>
      </c>
      <c r="I234" s="4">
        <v>1</v>
      </c>
    </row>
    <row r="235" spans="1:9" x14ac:dyDescent="0.25">
      <c r="A235" s="3" t="s">
        <v>218</v>
      </c>
      <c r="B235" s="3" t="s">
        <v>4</v>
      </c>
      <c r="C235" s="3" t="s">
        <v>188</v>
      </c>
      <c r="D235" s="3" t="s">
        <v>171</v>
      </c>
      <c r="E235" s="3" t="s">
        <v>78</v>
      </c>
      <c r="F235" s="3" t="s">
        <v>219</v>
      </c>
      <c r="G235" s="3" t="s">
        <v>4</v>
      </c>
      <c r="H235" s="3" t="s">
        <v>79</v>
      </c>
      <c r="I235" s="4">
        <v>1</v>
      </c>
    </row>
    <row r="236" spans="1:9" x14ac:dyDescent="0.25">
      <c r="A236" s="3" t="s">
        <v>113</v>
      </c>
      <c r="B236" s="3" t="s">
        <v>270</v>
      </c>
      <c r="C236" s="3" t="s">
        <v>35</v>
      </c>
      <c r="D236" s="3" t="s">
        <v>36</v>
      </c>
      <c r="E236" s="3" t="s">
        <v>81</v>
      </c>
      <c r="F236" s="3" t="s">
        <v>115</v>
      </c>
      <c r="G236" s="3" t="s">
        <v>16</v>
      </c>
      <c r="H236" s="3" t="s">
        <v>83</v>
      </c>
      <c r="I236" s="4">
        <v>5</v>
      </c>
    </row>
    <row r="237" spans="1:9" x14ac:dyDescent="0.25">
      <c r="A237" s="3" t="s">
        <v>113</v>
      </c>
      <c r="B237" s="3" t="s">
        <v>272</v>
      </c>
      <c r="C237" s="3" t="s">
        <v>35</v>
      </c>
      <c r="D237" s="3" t="s">
        <v>36</v>
      </c>
      <c r="E237" s="3" t="s">
        <v>75</v>
      </c>
      <c r="F237" s="3" t="s">
        <v>115</v>
      </c>
      <c r="G237" s="3" t="s">
        <v>273</v>
      </c>
      <c r="H237" s="3" t="s">
        <v>77</v>
      </c>
      <c r="I237" s="4">
        <v>4</v>
      </c>
    </row>
    <row r="238" spans="1:9" x14ac:dyDescent="0.25">
      <c r="A238" s="3" t="s">
        <v>113</v>
      </c>
      <c r="B238" s="3" t="s">
        <v>272</v>
      </c>
      <c r="C238" s="3" t="s">
        <v>35</v>
      </c>
      <c r="D238" s="3" t="s">
        <v>36</v>
      </c>
      <c r="E238" s="3" t="s">
        <v>85</v>
      </c>
      <c r="F238" s="3" t="s">
        <v>115</v>
      </c>
      <c r="G238" s="3" t="s">
        <v>273</v>
      </c>
      <c r="H238" s="3" t="s">
        <v>87</v>
      </c>
      <c r="I238" s="4">
        <v>4</v>
      </c>
    </row>
    <row r="239" spans="1:9" x14ac:dyDescent="0.25">
      <c r="A239" s="3" t="s">
        <v>113</v>
      </c>
      <c r="B239" s="3" t="s">
        <v>4</v>
      </c>
      <c r="C239" s="3" t="s">
        <v>35</v>
      </c>
      <c r="D239" s="3" t="s">
        <v>36</v>
      </c>
      <c r="E239" s="3" t="s">
        <v>114</v>
      </c>
      <c r="F239" s="3" t="s">
        <v>115</v>
      </c>
      <c r="G239" s="3" t="s">
        <v>4</v>
      </c>
      <c r="H239" s="3" t="s">
        <v>116</v>
      </c>
      <c r="I239" s="4">
        <v>1</v>
      </c>
    </row>
    <row r="240" spans="1:9" x14ac:dyDescent="0.25">
      <c r="A240" s="3" t="s">
        <v>113</v>
      </c>
      <c r="B240" s="3" t="s">
        <v>4</v>
      </c>
      <c r="C240" s="3" t="s">
        <v>35</v>
      </c>
      <c r="D240" s="3" t="s">
        <v>36</v>
      </c>
      <c r="E240" s="3" t="s">
        <v>125</v>
      </c>
      <c r="F240" s="3" t="s">
        <v>115</v>
      </c>
      <c r="G240" s="3" t="s">
        <v>4</v>
      </c>
      <c r="H240" s="3" t="s">
        <v>126</v>
      </c>
      <c r="I240" s="4">
        <v>1</v>
      </c>
    </row>
    <row r="241" spans="1:9" x14ac:dyDescent="0.25">
      <c r="A241" s="3" t="s">
        <v>113</v>
      </c>
      <c r="B241" s="3" t="s">
        <v>4</v>
      </c>
      <c r="C241" s="3" t="s">
        <v>35</v>
      </c>
      <c r="D241" s="3" t="s">
        <v>36</v>
      </c>
      <c r="E241" s="3" t="s">
        <v>109</v>
      </c>
      <c r="F241" s="3" t="s">
        <v>115</v>
      </c>
      <c r="G241" s="3" t="s">
        <v>4</v>
      </c>
      <c r="H241" s="3" t="s">
        <v>110</v>
      </c>
      <c r="I241" s="4">
        <v>1</v>
      </c>
    </row>
    <row r="242" spans="1:9" x14ac:dyDescent="0.25">
      <c r="A242" s="3" t="s">
        <v>231</v>
      </c>
      <c r="B242" s="3" t="s">
        <v>4</v>
      </c>
      <c r="C242" s="3" t="s">
        <v>207</v>
      </c>
      <c r="D242" s="3" t="s">
        <v>171</v>
      </c>
      <c r="E242" s="3" t="s">
        <v>53</v>
      </c>
      <c r="F242" s="3" t="s">
        <v>232</v>
      </c>
      <c r="G242" s="3" t="s">
        <v>4</v>
      </c>
      <c r="H242" s="3" t="s">
        <v>55</v>
      </c>
      <c r="I242" s="4">
        <v>1</v>
      </c>
    </row>
    <row r="243" spans="1:9" x14ac:dyDescent="0.25">
      <c r="A243" s="3" t="s">
        <v>40</v>
      </c>
      <c r="B243" s="3" t="s">
        <v>270</v>
      </c>
      <c r="C243" s="3" t="s">
        <v>35</v>
      </c>
      <c r="D243" s="3" t="s">
        <v>36</v>
      </c>
      <c r="E243" s="3" t="s">
        <v>268</v>
      </c>
      <c r="F243" s="3" t="s">
        <v>41</v>
      </c>
      <c r="G243" s="3" t="s">
        <v>16</v>
      </c>
      <c r="H243" s="3" t="s">
        <v>269</v>
      </c>
      <c r="I243" s="4">
        <v>5</v>
      </c>
    </row>
    <row r="244" spans="1:9" x14ac:dyDescent="0.25">
      <c r="A244" s="3" t="s">
        <v>40</v>
      </c>
      <c r="B244" s="3" t="s">
        <v>270</v>
      </c>
      <c r="C244" s="3" t="s">
        <v>35</v>
      </c>
      <c r="D244" s="3" t="s">
        <v>36</v>
      </c>
      <c r="E244" s="3" t="s">
        <v>143</v>
      </c>
      <c r="F244" s="3" t="s">
        <v>41</v>
      </c>
      <c r="G244" s="3" t="s">
        <v>16</v>
      </c>
      <c r="H244" s="3" t="s">
        <v>144</v>
      </c>
      <c r="I244" s="4">
        <v>5</v>
      </c>
    </row>
    <row r="245" spans="1:9" x14ac:dyDescent="0.25">
      <c r="A245" s="3" t="s">
        <v>40</v>
      </c>
      <c r="B245" s="3" t="s">
        <v>263</v>
      </c>
      <c r="C245" s="3" t="s">
        <v>35</v>
      </c>
      <c r="D245" s="3" t="s">
        <v>36</v>
      </c>
      <c r="E245" s="3" t="s">
        <v>43</v>
      </c>
      <c r="F245" s="3" t="s">
        <v>41</v>
      </c>
      <c r="G245" s="3" t="s">
        <v>263</v>
      </c>
      <c r="H245" s="3" t="s">
        <v>45</v>
      </c>
      <c r="I245" s="4">
        <v>3</v>
      </c>
    </row>
    <row r="246" spans="1:9" x14ac:dyDescent="0.25">
      <c r="A246" s="3" t="s">
        <v>40</v>
      </c>
      <c r="B246" s="3" t="s">
        <v>263</v>
      </c>
      <c r="C246" s="3" t="s">
        <v>35</v>
      </c>
      <c r="D246" s="3" t="s">
        <v>36</v>
      </c>
      <c r="E246" s="3" t="s">
        <v>89</v>
      </c>
      <c r="F246" s="3" t="s">
        <v>41</v>
      </c>
      <c r="G246" s="3" t="s">
        <v>263</v>
      </c>
      <c r="H246" s="3" t="s">
        <v>90</v>
      </c>
      <c r="I246" s="4">
        <v>3</v>
      </c>
    </row>
    <row r="247" spans="1:9" x14ac:dyDescent="0.25">
      <c r="A247" s="3" t="s">
        <v>40</v>
      </c>
      <c r="B247" s="3" t="s">
        <v>263</v>
      </c>
      <c r="C247" s="3" t="s">
        <v>35</v>
      </c>
      <c r="D247" s="3" t="s">
        <v>36</v>
      </c>
      <c r="E247" s="3" t="s">
        <v>141</v>
      </c>
      <c r="F247" s="3" t="s">
        <v>41</v>
      </c>
      <c r="G247" s="3" t="s">
        <v>263</v>
      </c>
      <c r="H247" s="3" t="s">
        <v>142</v>
      </c>
      <c r="I247" s="4">
        <v>3</v>
      </c>
    </row>
    <row r="248" spans="1:9" x14ac:dyDescent="0.25">
      <c r="A248" s="3" t="s">
        <v>40</v>
      </c>
      <c r="B248" s="3" t="s">
        <v>4</v>
      </c>
      <c r="C248" s="3" t="s">
        <v>35</v>
      </c>
      <c r="D248" s="3" t="s">
        <v>36</v>
      </c>
      <c r="E248" s="3" t="s">
        <v>37</v>
      </c>
      <c r="F248" s="3" t="s">
        <v>41</v>
      </c>
      <c r="G248" s="3" t="s">
        <v>4</v>
      </c>
      <c r="H248" s="3" t="s">
        <v>39</v>
      </c>
      <c r="I248" s="4">
        <v>1</v>
      </c>
    </row>
    <row r="249" spans="1:9" x14ac:dyDescent="0.25">
      <c r="A249" s="3" t="s">
        <v>40</v>
      </c>
      <c r="B249" s="3" t="s">
        <v>4</v>
      </c>
      <c r="C249" s="3" t="s">
        <v>35</v>
      </c>
      <c r="D249" s="3" t="s">
        <v>36</v>
      </c>
      <c r="E249" s="3" t="s">
        <v>63</v>
      </c>
      <c r="F249" s="3" t="s">
        <v>41</v>
      </c>
      <c r="G249" s="3" t="s">
        <v>4</v>
      </c>
      <c r="H249" s="3" t="s">
        <v>65</v>
      </c>
      <c r="I249" s="4">
        <v>1</v>
      </c>
    </row>
    <row r="250" spans="1:9" x14ac:dyDescent="0.25">
      <c r="A250" s="3" t="s">
        <v>40</v>
      </c>
      <c r="B250" s="3" t="s">
        <v>4</v>
      </c>
      <c r="C250" s="3" t="s">
        <v>35</v>
      </c>
      <c r="D250" s="3" t="s">
        <v>36</v>
      </c>
      <c r="E250" s="3" t="s">
        <v>60</v>
      </c>
      <c r="F250" s="3" t="s">
        <v>41</v>
      </c>
      <c r="G250" s="3" t="s">
        <v>4</v>
      </c>
      <c r="H250" s="3" t="s">
        <v>61</v>
      </c>
      <c r="I250" s="4">
        <v>1</v>
      </c>
    </row>
    <row r="251" spans="1:9" x14ac:dyDescent="0.25">
      <c r="A251" s="3" t="s">
        <v>40</v>
      </c>
      <c r="B251" s="3" t="s">
        <v>4</v>
      </c>
      <c r="C251" s="3" t="s">
        <v>35</v>
      </c>
      <c r="D251" s="3" t="s">
        <v>36</v>
      </c>
      <c r="E251" s="3" t="s">
        <v>72</v>
      </c>
      <c r="F251" s="3" t="s">
        <v>41</v>
      </c>
      <c r="G251" s="3" t="s">
        <v>4</v>
      </c>
      <c r="H251" s="3" t="s">
        <v>73</v>
      </c>
      <c r="I251" s="4">
        <v>1</v>
      </c>
    </row>
    <row r="252" spans="1:9" x14ac:dyDescent="0.25">
      <c r="A252" s="3" t="s">
        <v>211</v>
      </c>
      <c r="B252" s="3" t="s">
        <v>7</v>
      </c>
      <c r="C252" s="3" t="s">
        <v>212</v>
      </c>
      <c r="D252" s="3" t="s">
        <v>153</v>
      </c>
      <c r="E252" s="3" t="s">
        <v>143</v>
      </c>
      <c r="F252" s="3" t="s">
        <v>213</v>
      </c>
      <c r="G252" s="3" t="s">
        <v>7</v>
      </c>
      <c r="H252" s="3" t="s">
        <v>144</v>
      </c>
      <c r="I252" s="4">
        <v>2</v>
      </c>
    </row>
    <row r="253" spans="1:9" x14ac:dyDescent="0.25">
      <c r="A253" s="3" t="s">
        <v>132</v>
      </c>
      <c r="B253" s="3" t="s">
        <v>263</v>
      </c>
      <c r="C253" s="3" t="s">
        <v>35</v>
      </c>
      <c r="D253" s="3" t="s">
        <v>36</v>
      </c>
      <c r="E253" s="3" t="s">
        <v>107</v>
      </c>
      <c r="F253" s="3" t="s">
        <v>133</v>
      </c>
      <c r="G253" s="3" t="s">
        <v>263</v>
      </c>
      <c r="H253" s="3" t="s">
        <v>108</v>
      </c>
      <c r="I253" s="4">
        <v>3</v>
      </c>
    </row>
    <row r="254" spans="1:9" x14ac:dyDescent="0.25">
      <c r="A254" s="3" t="s">
        <v>132</v>
      </c>
      <c r="B254" s="3" t="s">
        <v>7</v>
      </c>
      <c r="C254" s="3" t="s">
        <v>35</v>
      </c>
      <c r="D254" s="3" t="s">
        <v>36</v>
      </c>
      <c r="E254" s="3" t="s">
        <v>109</v>
      </c>
      <c r="F254" s="3" t="s">
        <v>133</v>
      </c>
      <c r="G254" s="3" t="s">
        <v>7</v>
      </c>
      <c r="H254" s="3" t="s">
        <v>110</v>
      </c>
      <c r="I254" s="4">
        <v>2</v>
      </c>
    </row>
    <row r="255" spans="1:9" x14ac:dyDescent="0.25">
      <c r="A255" s="3" t="s">
        <v>132</v>
      </c>
      <c r="B255" s="3" t="s">
        <v>7</v>
      </c>
      <c r="C255" s="3" t="s">
        <v>35</v>
      </c>
      <c r="D255" s="3" t="s">
        <v>36</v>
      </c>
      <c r="E255" s="3" t="s">
        <v>98</v>
      </c>
      <c r="F255" s="3" t="s">
        <v>133</v>
      </c>
      <c r="G255" s="3" t="s">
        <v>7</v>
      </c>
      <c r="H255" s="3" t="s">
        <v>100</v>
      </c>
      <c r="I255" s="4">
        <v>2</v>
      </c>
    </row>
    <row r="256" spans="1:9" x14ac:dyDescent="0.25">
      <c r="A256" s="3" t="s">
        <v>216</v>
      </c>
      <c r="B256" s="3" t="s">
        <v>4</v>
      </c>
      <c r="C256" s="3" t="s">
        <v>191</v>
      </c>
      <c r="D256" s="3" t="s">
        <v>153</v>
      </c>
      <c r="E256" s="3" t="s">
        <v>60</v>
      </c>
      <c r="F256" s="3" t="s">
        <v>217</v>
      </c>
      <c r="G256" s="3" t="s">
        <v>4</v>
      </c>
      <c r="H256" s="3" t="s">
        <v>61</v>
      </c>
      <c r="I256" s="4">
        <v>1</v>
      </c>
    </row>
    <row r="257" spans="1:9" x14ac:dyDescent="0.25">
      <c r="A257" s="3" t="s">
        <v>216</v>
      </c>
      <c r="B257" s="3" t="s">
        <v>4</v>
      </c>
      <c r="C257" s="3" t="s">
        <v>191</v>
      </c>
      <c r="D257" s="3" t="s">
        <v>153</v>
      </c>
      <c r="E257" s="3" t="s">
        <v>125</v>
      </c>
      <c r="F257" s="3" t="s">
        <v>217</v>
      </c>
      <c r="G257" s="3" t="s">
        <v>4</v>
      </c>
      <c r="H257" s="3" t="s">
        <v>126</v>
      </c>
      <c r="I257" s="4">
        <v>1</v>
      </c>
    </row>
    <row r="258" spans="1:9" x14ac:dyDescent="0.25">
      <c r="A258" s="3" t="s">
        <v>216</v>
      </c>
      <c r="B258" s="3" t="s">
        <v>4</v>
      </c>
      <c r="C258" s="3" t="s">
        <v>191</v>
      </c>
      <c r="D258" s="3" t="s">
        <v>153</v>
      </c>
      <c r="E258" s="3" t="s">
        <v>81</v>
      </c>
      <c r="F258" s="3" t="s">
        <v>217</v>
      </c>
      <c r="G258" s="3" t="s">
        <v>4</v>
      </c>
      <c r="H258" s="3" t="s">
        <v>83</v>
      </c>
      <c r="I258" s="4">
        <v>1</v>
      </c>
    </row>
    <row r="259" spans="1:9" x14ac:dyDescent="0.25">
      <c r="A259" s="3" t="s">
        <v>216</v>
      </c>
      <c r="B259" s="3" t="s">
        <v>4</v>
      </c>
      <c r="C259" s="3" t="s">
        <v>191</v>
      </c>
      <c r="D259" s="3" t="s">
        <v>153</v>
      </c>
      <c r="E259" s="3" t="s">
        <v>114</v>
      </c>
      <c r="F259" s="3" t="s">
        <v>217</v>
      </c>
      <c r="G259" s="3" t="s">
        <v>4</v>
      </c>
      <c r="H259" s="3" t="s">
        <v>116</v>
      </c>
      <c r="I259" s="4">
        <v>1</v>
      </c>
    </row>
    <row r="260" spans="1:9" x14ac:dyDescent="0.25">
      <c r="A260" s="3" t="s">
        <v>216</v>
      </c>
      <c r="B260" s="3" t="s">
        <v>4</v>
      </c>
      <c r="C260" s="3" t="s">
        <v>191</v>
      </c>
      <c r="D260" s="3" t="s">
        <v>153</v>
      </c>
      <c r="E260" s="3" t="s">
        <v>75</v>
      </c>
      <c r="F260" s="3" t="s">
        <v>217</v>
      </c>
      <c r="G260" s="3" t="s">
        <v>4</v>
      </c>
      <c r="H260" s="3" t="s">
        <v>77</v>
      </c>
      <c r="I260" s="4">
        <v>1</v>
      </c>
    </row>
    <row r="261" spans="1:9" x14ac:dyDescent="0.25">
      <c r="A261" s="3" t="s">
        <v>216</v>
      </c>
      <c r="B261" s="3" t="s">
        <v>4</v>
      </c>
      <c r="C261" s="3" t="s">
        <v>191</v>
      </c>
      <c r="D261" s="3" t="s">
        <v>153</v>
      </c>
      <c r="E261" s="3" t="s">
        <v>85</v>
      </c>
      <c r="F261" s="3" t="s">
        <v>217</v>
      </c>
      <c r="G261" s="3" t="s">
        <v>4</v>
      </c>
      <c r="H261" s="3" t="s">
        <v>87</v>
      </c>
      <c r="I261" s="4">
        <v>1</v>
      </c>
    </row>
    <row r="262" spans="1:9" x14ac:dyDescent="0.25">
      <c r="A262" s="3" t="s">
        <v>235</v>
      </c>
      <c r="B262" s="3" t="s">
        <v>4</v>
      </c>
      <c r="C262" s="3" t="s">
        <v>191</v>
      </c>
      <c r="D262" s="3" t="s">
        <v>153</v>
      </c>
      <c r="E262" s="3" t="s">
        <v>72</v>
      </c>
      <c r="F262" s="3" t="s">
        <v>236</v>
      </c>
      <c r="G262" s="3" t="s">
        <v>4</v>
      </c>
      <c r="H262" s="3" t="s">
        <v>73</v>
      </c>
      <c r="I262" s="4">
        <v>1</v>
      </c>
    </row>
    <row r="263" spans="1:9" x14ac:dyDescent="0.25">
      <c r="A263" s="3" t="s">
        <v>80</v>
      </c>
      <c r="B263" s="3" t="s">
        <v>4</v>
      </c>
      <c r="C263" s="3" t="s">
        <v>35</v>
      </c>
      <c r="D263" s="3" t="s">
        <v>36</v>
      </c>
      <c r="E263" s="3" t="s">
        <v>81</v>
      </c>
      <c r="F263" s="3" t="s">
        <v>82</v>
      </c>
      <c r="G263" s="3" t="s">
        <v>4</v>
      </c>
      <c r="H263" s="3" t="s">
        <v>83</v>
      </c>
      <c r="I263" s="4">
        <v>1</v>
      </c>
    </row>
    <row r="264" spans="1:9" x14ac:dyDescent="0.25">
      <c r="A264" s="3" t="s">
        <v>214</v>
      </c>
      <c r="B264" s="3" t="s">
        <v>4</v>
      </c>
      <c r="C264" s="3" t="s">
        <v>191</v>
      </c>
      <c r="D264" s="3" t="s">
        <v>36</v>
      </c>
      <c r="E264" s="3" t="s">
        <v>47</v>
      </c>
      <c r="F264" s="3" t="s">
        <v>215</v>
      </c>
      <c r="G264" s="3" t="s">
        <v>4</v>
      </c>
      <c r="H264" s="3" t="s">
        <v>49</v>
      </c>
      <c r="I264" s="4">
        <v>1</v>
      </c>
    </row>
    <row r="265" spans="1:9" x14ac:dyDescent="0.25">
      <c r="A265" s="3" t="s">
        <v>56</v>
      </c>
      <c r="B265" s="3" t="s">
        <v>19</v>
      </c>
      <c r="C265" s="3" t="s">
        <v>35</v>
      </c>
      <c r="D265" s="3" t="s">
        <v>36</v>
      </c>
      <c r="E265" s="3" t="s">
        <v>63</v>
      </c>
      <c r="F265" s="3" t="s">
        <v>57</v>
      </c>
      <c r="G265" s="3" t="s">
        <v>19</v>
      </c>
      <c r="H265" s="3" t="s">
        <v>65</v>
      </c>
      <c r="I265" s="4">
        <v>6</v>
      </c>
    </row>
    <row r="266" spans="1:9" x14ac:dyDescent="0.25">
      <c r="A266" s="3" t="s">
        <v>56</v>
      </c>
      <c r="B266" s="3" t="s">
        <v>19</v>
      </c>
      <c r="C266" s="3" t="s">
        <v>35</v>
      </c>
      <c r="D266" s="3" t="s">
        <v>36</v>
      </c>
      <c r="E266" s="3" t="s">
        <v>125</v>
      </c>
      <c r="F266" s="3" t="s">
        <v>57</v>
      </c>
      <c r="G266" s="3" t="s">
        <v>19</v>
      </c>
      <c r="H266" s="3" t="s">
        <v>126</v>
      </c>
      <c r="I266" s="4">
        <v>6</v>
      </c>
    </row>
    <row r="267" spans="1:9" x14ac:dyDescent="0.25">
      <c r="A267" s="3" t="s">
        <v>56</v>
      </c>
      <c r="B267" s="3" t="s">
        <v>19</v>
      </c>
      <c r="C267" s="3" t="s">
        <v>35</v>
      </c>
      <c r="D267" s="3" t="s">
        <v>36</v>
      </c>
      <c r="E267" s="3" t="s">
        <v>141</v>
      </c>
      <c r="F267" s="3" t="s">
        <v>57</v>
      </c>
      <c r="G267" s="3" t="s">
        <v>19</v>
      </c>
      <c r="H267" s="3" t="s">
        <v>142</v>
      </c>
      <c r="I267" s="4">
        <v>6</v>
      </c>
    </row>
    <row r="268" spans="1:9" x14ac:dyDescent="0.25">
      <c r="A268" s="3" t="s">
        <v>56</v>
      </c>
      <c r="B268" s="3" t="s">
        <v>19</v>
      </c>
      <c r="C268" s="3" t="s">
        <v>35</v>
      </c>
      <c r="D268" s="3" t="s">
        <v>36</v>
      </c>
      <c r="E268" s="3" t="s">
        <v>143</v>
      </c>
      <c r="F268" s="3" t="s">
        <v>57</v>
      </c>
      <c r="G268" s="3" t="s">
        <v>19</v>
      </c>
      <c r="H268" s="3" t="s">
        <v>144</v>
      </c>
      <c r="I268" s="4">
        <v>6</v>
      </c>
    </row>
    <row r="269" spans="1:9" x14ac:dyDescent="0.25">
      <c r="A269" s="3" t="s">
        <v>56</v>
      </c>
      <c r="B269" s="3" t="s">
        <v>270</v>
      </c>
      <c r="C269" s="3" t="s">
        <v>35</v>
      </c>
      <c r="D269" s="3" t="s">
        <v>36</v>
      </c>
      <c r="E269" s="3" t="s">
        <v>98</v>
      </c>
      <c r="F269" s="3" t="s">
        <v>57</v>
      </c>
      <c r="G269" s="3" t="s">
        <v>16</v>
      </c>
      <c r="H269" s="3" t="s">
        <v>100</v>
      </c>
      <c r="I269" s="4">
        <v>5</v>
      </c>
    </row>
    <row r="270" spans="1:9" x14ac:dyDescent="0.25">
      <c r="A270" s="3" t="s">
        <v>56</v>
      </c>
      <c r="B270" s="3" t="s">
        <v>270</v>
      </c>
      <c r="C270" s="3" t="s">
        <v>35</v>
      </c>
      <c r="D270" s="3" t="s">
        <v>36</v>
      </c>
      <c r="E270" s="3" t="s">
        <v>47</v>
      </c>
      <c r="F270" s="3" t="s">
        <v>57</v>
      </c>
      <c r="G270" s="3" t="s">
        <v>16</v>
      </c>
      <c r="H270" s="3" t="s">
        <v>49</v>
      </c>
      <c r="I270" s="4">
        <v>5</v>
      </c>
    </row>
    <row r="271" spans="1:9" x14ac:dyDescent="0.25">
      <c r="A271" s="3" t="s">
        <v>56</v>
      </c>
      <c r="B271" s="3" t="s">
        <v>271</v>
      </c>
      <c r="C271" s="3" t="s">
        <v>35</v>
      </c>
      <c r="D271" s="3" t="s">
        <v>36</v>
      </c>
      <c r="E271" s="3" t="s">
        <v>60</v>
      </c>
      <c r="F271" s="3" t="s">
        <v>57</v>
      </c>
      <c r="G271" s="3" t="s">
        <v>273</v>
      </c>
      <c r="H271" s="3" t="s">
        <v>61</v>
      </c>
      <c r="I271" s="4">
        <v>4</v>
      </c>
    </row>
    <row r="272" spans="1:9" x14ac:dyDescent="0.25">
      <c r="A272" s="3" t="s">
        <v>56</v>
      </c>
      <c r="B272" s="3" t="s">
        <v>272</v>
      </c>
      <c r="C272" s="3" t="s">
        <v>35</v>
      </c>
      <c r="D272" s="3" t="s">
        <v>36</v>
      </c>
      <c r="E272" s="3" t="s">
        <v>107</v>
      </c>
      <c r="F272" s="3" t="s">
        <v>57</v>
      </c>
      <c r="G272" s="3" t="s">
        <v>273</v>
      </c>
      <c r="H272" s="3" t="s">
        <v>108</v>
      </c>
      <c r="I272" s="4">
        <v>4</v>
      </c>
    </row>
    <row r="273" spans="1:9" x14ac:dyDescent="0.25">
      <c r="A273" s="3" t="s">
        <v>56</v>
      </c>
      <c r="B273" s="3" t="s">
        <v>263</v>
      </c>
      <c r="C273" s="3" t="s">
        <v>35</v>
      </c>
      <c r="D273" s="3" t="s">
        <v>36</v>
      </c>
      <c r="E273" s="3" t="s">
        <v>75</v>
      </c>
      <c r="F273" s="3" t="s">
        <v>57</v>
      </c>
      <c r="G273" s="3" t="s">
        <v>263</v>
      </c>
      <c r="H273" s="3" t="s">
        <v>77</v>
      </c>
      <c r="I273" s="4">
        <v>3</v>
      </c>
    </row>
    <row r="274" spans="1:9" x14ac:dyDescent="0.25">
      <c r="A274" s="3" t="s">
        <v>56</v>
      </c>
      <c r="B274" s="3" t="s">
        <v>7</v>
      </c>
      <c r="C274" s="3" t="s">
        <v>35</v>
      </c>
      <c r="D274" s="3" t="s">
        <v>36</v>
      </c>
      <c r="E274" s="3" t="s">
        <v>72</v>
      </c>
      <c r="F274" s="3" t="s">
        <v>57</v>
      </c>
      <c r="G274" s="3" t="s">
        <v>7</v>
      </c>
      <c r="H274" s="3" t="s">
        <v>73</v>
      </c>
      <c r="I274" s="4">
        <v>2</v>
      </c>
    </row>
    <row r="275" spans="1:9" x14ac:dyDescent="0.25">
      <c r="A275" s="3" t="s">
        <v>56</v>
      </c>
      <c r="B275" s="3" t="s">
        <v>7</v>
      </c>
      <c r="C275" s="3" t="s">
        <v>35</v>
      </c>
      <c r="D275" s="3" t="s">
        <v>36</v>
      </c>
      <c r="E275" s="3" t="s">
        <v>109</v>
      </c>
      <c r="F275" s="3" t="s">
        <v>57</v>
      </c>
      <c r="G275" s="3" t="s">
        <v>7</v>
      </c>
      <c r="H275" s="3" t="s">
        <v>110</v>
      </c>
      <c r="I275" s="4">
        <v>2</v>
      </c>
    </row>
    <row r="276" spans="1:9" x14ac:dyDescent="0.25">
      <c r="A276" s="3" t="s">
        <v>56</v>
      </c>
      <c r="B276" s="3" t="s">
        <v>4</v>
      </c>
      <c r="C276" s="3" t="s">
        <v>35</v>
      </c>
      <c r="D276" s="3" t="s">
        <v>36</v>
      </c>
      <c r="E276" s="3" t="s">
        <v>53</v>
      </c>
      <c r="F276" s="3" t="s">
        <v>57</v>
      </c>
      <c r="G276" s="3" t="s">
        <v>4</v>
      </c>
      <c r="H276" s="3" t="s">
        <v>55</v>
      </c>
      <c r="I276" s="4">
        <v>1</v>
      </c>
    </row>
    <row r="277" spans="1:9" x14ac:dyDescent="0.25">
      <c r="A277" s="3" t="s">
        <v>56</v>
      </c>
      <c r="B277" s="3" t="s">
        <v>4</v>
      </c>
      <c r="C277" s="3" t="s">
        <v>35</v>
      </c>
      <c r="D277" s="3" t="s">
        <v>36</v>
      </c>
      <c r="E277" s="3" t="s">
        <v>78</v>
      </c>
      <c r="F277" s="3" t="s">
        <v>57</v>
      </c>
      <c r="G277" s="3" t="s">
        <v>4</v>
      </c>
      <c r="H277" s="3" t="s">
        <v>79</v>
      </c>
      <c r="I277" s="4">
        <v>1</v>
      </c>
    </row>
    <row r="278" spans="1:9" x14ac:dyDescent="0.25">
      <c r="A278" s="3" t="s">
        <v>56</v>
      </c>
      <c r="B278" s="3" t="s">
        <v>4</v>
      </c>
      <c r="C278" s="3" t="s">
        <v>35</v>
      </c>
      <c r="D278" s="3" t="s">
        <v>36</v>
      </c>
      <c r="E278" s="3" t="s">
        <v>268</v>
      </c>
      <c r="F278" s="3" t="s">
        <v>57</v>
      </c>
      <c r="G278" s="3" t="s">
        <v>4</v>
      </c>
      <c r="H278" s="3" t="s">
        <v>269</v>
      </c>
      <c r="I278" s="4">
        <v>1</v>
      </c>
    </row>
    <row r="279" spans="1:9" x14ac:dyDescent="0.25">
      <c r="A279" s="3" t="s">
        <v>56</v>
      </c>
      <c r="B279" s="3" t="s">
        <v>4</v>
      </c>
      <c r="C279" s="3" t="s">
        <v>35</v>
      </c>
      <c r="D279" s="3" t="s">
        <v>36</v>
      </c>
      <c r="E279" s="3" t="s">
        <v>89</v>
      </c>
      <c r="F279" s="3" t="s">
        <v>57</v>
      </c>
      <c r="G279" s="3" t="s">
        <v>4</v>
      </c>
      <c r="H279" s="3" t="s">
        <v>90</v>
      </c>
      <c r="I279" s="4">
        <v>1</v>
      </c>
    </row>
    <row r="280" spans="1:9" x14ac:dyDescent="0.25">
      <c r="A280" s="3" t="s">
        <v>56</v>
      </c>
      <c r="B280" s="3" t="s">
        <v>4</v>
      </c>
      <c r="C280" s="3" t="s">
        <v>35</v>
      </c>
      <c r="D280" s="3" t="s">
        <v>36</v>
      </c>
      <c r="E280" s="3" t="s">
        <v>43</v>
      </c>
      <c r="F280" s="3" t="s">
        <v>57</v>
      </c>
      <c r="G280" s="3" t="s">
        <v>4</v>
      </c>
      <c r="H280" s="3" t="s">
        <v>45</v>
      </c>
      <c r="I280" s="4">
        <v>1</v>
      </c>
    </row>
    <row r="281" spans="1:9" x14ac:dyDescent="0.25">
      <c r="A281" s="3" t="s">
        <v>56</v>
      </c>
      <c r="B281" s="3" t="s">
        <v>4</v>
      </c>
      <c r="C281" s="3" t="s">
        <v>35</v>
      </c>
      <c r="D281" s="3" t="s">
        <v>36</v>
      </c>
      <c r="E281" s="3" t="s">
        <v>114</v>
      </c>
      <c r="F281" s="3" t="s">
        <v>57</v>
      </c>
      <c r="G281" s="3" t="s">
        <v>4</v>
      </c>
      <c r="H281" s="3" t="s">
        <v>116</v>
      </c>
      <c r="I281" s="4">
        <v>1</v>
      </c>
    </row>
    <row r="282" spans="1:9" x14ac:dyDescent="0.25">
      <c r="A282" s="3" t="s">
        <v>56</v>
      </c>
      <c r="B282" s="3" t="s">
        <v>4</v>
      </c>
      <c r="C282" s="3" t="s">
        <v>35</v>
      </c>
      <c r="D282" s="3" t="s">
        <v>36</v>
      </c>
      <c r="E282" s="3" t="s">
        <v>266</v>
      </c>
      <c r="F282" s="3" t="s">
        <v>57</v>
      </c>
      <c r="G282" s="3" t="s">
        <v>4</v>
      </c>
      <c r="H282" s="3" t="s">
        <v>267</v>
      </c>
      <c r="I282" s="4">
        <v>1</v>
      </c>
    </row>
    <row r="283" spans="1:9" x14ac:dyDescent="0.25">
      <c r="A283" s="3" t="s">
        <v>241</v>
      </c>
      <c r="B283" s="3" t="s">
        <v>4</v>
      </c>
      <c r="C283" s="3" t="s">
        <v>207</v>
      </c>
      <c r="D283" s="3" t="s">
        <v>171</v>
      </c>
      <c r="E283" s="3" t="s">
        <v>75</v>
      </c>
      <c r="F283" s="3" t="s">
        <v>242</v>
      </c>
      <c r="G283" s="3" t="s">
        <v>4</v>
      </c>
      <c r="H283" s="3" t="s">
        <v>77</v>
      </c>
      <c r="I283" s="4">
        <v>1</v>
      </c>
    </row>
    <row r="284" spans="1:9" x14ac:dyDescent="0.25">
      <c r="A284" s="3" t="s">
        <v>195</v>
      </c>
      <c r="B284" s="3" t="s">
        <v>7</v>
      </c>
      <c r="C284" s="3" t="s">
        <v>152</v>
      </c>
      <c r="D284" s="3" t="s">
        <v>153</v>
      </c>
      <c r="E284" s="3" t="s">
        <v>109</v>
      </c>
      <c r="F284" s="3" t="s">
        <v>196</v>
      </c>
      <c r="G284" s="3" t="s">
        <v>7</v>
      </c>
      <c r="H284" s="3" t="s">
        <v>110</v>
      </c>
      <c r="I284" s="4">
        <v>2</v>
      </c>
    </row>
    <row r="285" spans="1:9" x14ac:dyDescent="0.25">
      <c r="A285" s="3" t="s">
        <v>195</v>
      </c>
      <c r="B285" s="3" t="s">
        <v>7</v>
      </c>
      <c r="C285" s="3" t="s">
        <v>152</v>
      </c>
      <c r="D285" s="3" t="s">
        <v>153</v>
      </c>
      <c r="E285" s="3" t="s">
        <v>78</v>
      </c>
      <c r="F285" s="3" t="s">
        <v>196</v>
      </c>
      <c r="G285" s="3" t="s">
        <v>7</v>
      </c>
      <c r="H285" s="3" t="s">
        <v>79</v>
      </c>
      <c r="I285" s="4">
        <v>2</v>
      </c>
    </row>
    <row r="286" spans="1:9" x14ac:dyDescent="0.25">
      <c r="A286" s="3" t="s">
        <v>195</v>
      </c>
      <c r="B286" s="3" t="s">
        <v>7</v>
      </c>
      <c r="C286" s="3" t="s">
        <v>152</v>
      </c>
      <c r="D286" s="3" t="s">
        <v>153</v>
      </c>
      <c r="E286" s="3" t="s">
        <v>81</v>
      </c>
      <c r="F286" s="3" t="s">
        <v>196</v>
      </c>
      <c r="G286" s="3" t="s">
        <v>7</v>
      </c>
      <c r="H286" s="3" t="s">
        <v>83</v>
      </c>
      <c r="I286" s="4">
        <v>2</v>
      </c>
    </row>
    <row r="287" spans="1:9" x14ac:dyDescent="0.25">
      <c r="A287" s="3" t="s">
        <v>195</v>
      </c>
      <c r="B287" s="3" t="s">
        <v>7</v>
      </c>
      <c r="C287" s="3" t="s">
        <v>152</v>
      </c>
      <c r="D287" s="3" t="s">
        <v>153</v>
      </c>
      <c r="E287" s="3" t="s">
        <v>85</v>
      </c>
      <c r="F287" s="3" t="s">
        <v>196</v>
      </c>
      <c r="G287" s="3" t="s">
        <v>7</v>
      </c>
      <c r="H287" s="3" t="s">
        <v>87</v>
      </c>
      <c r="I287" s="4">
        <v>2</v>
      </c>
    </row>
    <row r="288" spans="1:9" x14ac:dyDescent="0.25">
      <c r="A288" s="3" t="s">
        <v>195</v>
      </c>
      <c r="B288" s="3" t="s">
        <v>4</v>
      </c>
      <c r="C288" s="3" t="s">
        <v>152</v>
      </c>
      <c r="D288" s="3" t="s">
        <v>153</v>
      </c>
      <c r="E288" s="3" t="s">
        <v>75</v>
      </c>
      <c r="F288" s="3" t="s">
        <v>196</v>
      </c>
      <c r="G288" s="3" t="s">
        <v>4</v>
      </c>
      <c r="H288" s="3" t="s">
        <v>77</v>
      </c>
      <c r="I288" s="4">
        <v>1</v>
      </c>
    </row>
    <row r="289" spans="1:9" x14ac:dyDescent="0.25">
      <c r="A289" s="3" t="s">
        <v>195</v>
      </c>
      <c r="B289" s="3" t="s">
        <v>4</v>
      </c>
      <c r="C289" s="3" t="s">
        <v>152</v>
      </c>
      <c r="D289" s="3" t="s">
        <v>153</v>
      </c>
      <c r="E289" s="3" t="s">
        <v>125</v>
      </c>
      <c r="F289" s="3" t="s">
        <v>196</v>
      </c>
      <c r="G289" s="3" t="s">
        <v>4</v>
      </c>
      <c r="H289" s="3" t="s">
        <v>126</v>
      </c>
      <c r="I289" s="4">
        <v>1</v>
      </c>
    </row>
    <row r="290" spans="1:9" x14ac:dyDescent="0.25">
      <c r="A290" s="3" t="s">
        <v>195</v>
      </c>
      <c r="B290" s="3" t="s">
        <v>4</v>
      </c>
      <c r="C290" s="3" t="s">
        <v>152</v>
      </c>
      <c r="D290" s="3" t="s">
        <v>153</v>
      </c>
      <c r="E290" s="3" t="s">
        <v>114</v>
      </c>
      <c r="F290" s="3" t="s">
        <v>196</v>
      </c>
      <c r="G290" s="3" t="s">
        <v>4</v>
      </c>
      <c r="H290" s="3" t="s">
        <v>116</v>
      </c>
      <c r="I290" s="4">
        <v>1</v>
      </c>
    </row>
    <row r="291" spans="1:9" x14ac:dyDescent="0.25">
      <c r="A291" s="3" t="s">
        <v>151</v>
      </c>
      <c r="B291" s="3" t="s">
        <v>271</v>
      </c>
      <c r="C291" s="3" t="s">
        <v>152</v>
      </c>
      <c r="D291" s="3" t="s">
        <v>153</v>
      </c>
      <c r="E291" s="3" t="s">
        <v>109</v>
      </c>
      <c r="F291" s="3" t="s">
        <v>154</v>
      </c>
      <c r="G291" s="3" t="s">
        <v>273</v>
      </c>
      <c r="H291" s="3" t="s">
        <v>110</v>
      </c>
      <c r="I291" s="4">
        <v>4</v>
      </c>
    </row>
    <row r="292" spans="1:9" x14ac:dyDescent="0.25">
      <c r="A292" s="3" t="s">
        <v>151</v>
      </c>
      <c r="B292" s="3" t="s">
        <v>7</v>
      </c>
      <c r="C292" s="3" t="s">
        <v>152</v>
      </c>
      <c r="D292" s="3" t="s">
        <v>153</v>
      </c>
      <c r="E292" s="3" t="s">
        <v>78</v>
      </c>
      <c r="F292" s="3" t="s">
        <v>154</v>
      </c>
      <c r="G292" s="3" t="s">
        <v>7</v>
      </c>
      <c r="H292" s="3" t="s">
        <v>79</v>
      </c>
      <c r="I292" s="4">
        <v>2</v>
      </c>
    </row>
    <row r="293" spans="1:9" x14ac:dyDescent="0.25">
      <c r="A293" s="3" t="s">
        <v>151</v>
      </c>
      <c r="B293" s="3" t="s">
        <v>7</v>
      </c>
      <c r="C293" s="3" t="s">
        <v>152</v>
      </c>
      <c r="D293" s="3" t="s">
        <v>153</v>
      </c>
      <c r="E293" s="3" t="s">
        <v>85</v>
      </c>
      <c r="F293" s="3" t="s">
        <v>154</v>
      </c>
      <c r="G293" s="3" t="s">
        <v>7</v>
      </c>
      <c r="H293" s="3" t="s">
        <v>87</v>
      </c>
      <c r="I293" s="4">
        <v>2</v>
      </c>
    </row>
    <row r="294" spans="1:9" x14ac:dyDescent="0.25">
      <c r="A294" s="3" t="s">
        <v>151</v>
      </c>
      <c r="B294" s="3" t="s">
        <v>4</v>
      </c>
      <c r="C294" s="3" t="s">
        <v>152</v>
      </c>
      <c r="D294" s="3" t="s">
        <v>153</v>
      </c>
      <c r="E294" s="3" t="s">
        <v>72</v>
      </c>
      <c r="F294" s="3" t="s">
        <v>154</v>
      </c>
      <c r="G294" s="3" t="s">
        <v>4</v>
      </c>
      <c r="H294" s="3" t="s">
        <v>73</v>
      </c>
      <c r="I294" s="4">
        <v>1</v>
      </c>
    </row>
    <row r="295" spans="1:9" x14ac:dyDescent="0.25">
      <c r="A295" s="3" t="s">
        <v>151</v>
      </c>
      <c r="B295" s="3" t="s">
        <v>4</v>
      </c>
      <c r="C295" s="3" t="s">
        <v>152</v>
      </c>
      <c r="D295" s="3" t="s">
        <v>153</v>
      </c>
      <c r="E295" s="3" t="s">
        <v>75</v>
      </c>
      <c r="F295" s="3" t="s">
        <v>154</v>
      </c>
      <c r="G295" s="3" t="s">
        <v>4</v>
      </c>
      <c r="H295" s="3" t="s">
        <v>77</v>
      </c>
      <c r="I295" s="4">
        <v>1</v>
      </c>
    </row>
    <row r="296" spans="1:9" x14ac:dyDescent="0.25">
      <c r="A296" s="3" t="s">
        <v>151</v>
      </c>
      <c r="B296" s="3" t="s">
        <v>4</v>
      </c>
      <c r="C296" s="3" t="s">
        <v>152</v>
      </c>
      <c r="D296" s="3" t="s">
        <v>153</v>
      </c>
      <c r="E296" s="3" t="s">
        <v>125</v>
      </c>
      <c r="F296" s="3" t="s">
        <v>154</v>
      </c>
      <c r="G296" s="3" t="s">
        <v>4</v>
      </c>
      <c r="H296" s="3" t="s">
        <v>126</v>
      </c>
      <c r="I296" s="4">
        <v>1</v>
      </c>
    </row>
    <row r="297" spans="1:9" x14ac:dyDescent="0.25">
      <c r="A297" s="3" t="s">
        <v>151</v>
      </c>
      <c r="B297" s="3" t="s">
        <v>4</v>
      </c>
      <c r="C297" s="3" t="s">
        <v>152</v>
      </c>
      <c r="D297" s="3" t="s">
        <v>153</v>
      </c>
      <c r="E297" s="3" t="s">
        <v>114</v>
      </c>
      <c r="F297" s="3" t="s">
        <v>154</v>
      </c>
      <c r="G297" s="3" t="s">
        <v>4</v>
      </c>
      <c r="H297" s="3" t="s">
        <v>116</v>
      </c>
      <c r="I297" s="4">
        <v>1</v>
      </c>
    </row>
    <row r="298" spans="1:9" x14ac:dyDescent="0.25">
      <c r="A298" s="3" t="s">
        <v>151</v>
      </c>
      <c r="B298" s="3" t="s">
        <v>4</v>
      </c>
      <c r="C298" s="3" t="s">
        <v>152</v>
      </c>
      <c r="D298" s="3" t="s">
        <v>153</v>
      </c>
      <c r="E298" s="3" t="s">
        <v>107</v>
      </c>
      <c r="F298" s="3" t="s">
        <v>154</v>
      </c>
      <c r="G298" s="3" t="s">
        <v>4</v>
      </c>
      <c r="H298" s="3" t="s">
        <v>108</v>
      </c>
      <c r="I298" s="4">
        <v>1</v>
      </c>
    </row>
    <row r="299" spans="1:9" x14ac:dyDescent="0.25">
      <c r="A299" s="3" t="s">
        <v>151</v>
      </c>
      <c r="B299" s="3" t="s">
        <v>4</v>
      </c>
      <c r="C299" s="3" t="s">
        <v>152</v>
      </c>
      <c r="D299" s="3" t="s">
        <v>153</v>
      </c>
      <c r="E299" s="3" t="s">
        <v>81</v>
      </c>
      <c r="F299" s="3" t="s">
        <v>154</v>
      </c>
      <c r="G299" s="3" t="s">
        <v>4</v>
      </c>
      <c r="H299" s="3" t="s">
        <v>83</v>
      </c>
      <c r="I299" s="4">
        <v>1</v>
      </c>
    </row>
    <row r="300" spans="1:9" x14ac:dyDescent="0.25">
      <c r="A300" s="3" t="s">
        <v>151</v>
      </c>
      <c r="B300" s="3" t="s">
        <v>4</v>
      </c>
      <c r="C300" s="3" t="s">
        <v>152</v>
      </c>
      <c r="D300" s="3" t="s">
        <v>153</v>
      </c>
      <c r="E300" s="3" t="s">
        <v>268</v>
      </c>
      <c r="F300" s="3" t="s">
        <v>154</v>
      </c>
      <c r="G300" s="3" t="s">
        <v>4</v>
      </c>
      <c r="H300" s="3" t="s">
        <v>269</v>
      </c>
      <c r="I300" s="4">
        <v>1</v>
      </c>
    </row>
    <row r="301" spans="1:9" x14ac:dyDescent="0.25">
      <c r="A301" s="3" t="s">
        <v>151</v>
      </c>
      <c r="B301" s="3" t="s">
        <v>4</v>
      </c>
      <c r="C301" s="3" t="s">
        <v>152</v>
      </c>
      <c r="D301" s="3" t="s">
        <v>153</v>
      </c>
      <c r="E301" s="3" t="s">
        <v>98</v>
      </c>
      <c r="F301" s="3" t="s">
        <v>154</v>
      </c>
      <c r="G301" s="3" t="s">
        <v>4</v>
      </c>
      <c r="H301" s="3" t="s">
        <v>100</v>
      </c>
      <c r="I301" s="4">
        <v>1</v>
      </c>
    </row>
    <row r="302" spans="1:9" x14ac:dyDescent="0.25">
      <c r="A302" s="3" t="s">
        <v>220</v>
      </c>
      <c r="B302" s="3" t="s">
        <v>4</v>
      </c>
      <c r="C302" s="3" t="s">
        <v>191</v>
      </c>
      <c r="D302" s="3" t="s">
        <v>153</v>
      </c>
      <c r="E302" s="3" t="s">
        <v>63</v>
      </c>
      <c r="F302" s="3" t="s">
        <v>221</v>
      </c>
      <c r="G302" s="3" t="s">
        <v>4</v>
      </c>
      <c r="H302" s="3" t="s">
        <v>65</v>
      </c>
      <c r="I302" s="4">
        <v>1</v>
      </c>
    </row>
    <row r="303" spans="1:9" x14ac:dyDescent="0.25">
      <c r="A303" s="3" t="s">
        <v>161</v>
      </c>
      <c r="B303" s="3" t="s">
        <v>271</v>
      </c>
      <c r="C303" s="3" t="s">
        <v>162</v>
      </c>
      <c r="D303" s="3" t="s">
        <v>163</v>
      </c>
      <c r="E303" s="3" t="s">
        <v>85</v>
      </c>
      <c r="F303" s="3" t="s">
        <v>164</v>
      </c>
      <c r="G303" s="3" t="s">
        <v>273</v>
      </c>
      <c r="H303" s="3" t="s">
        <v>87</v>
      </c>
      <c r="I303" s="4">
        <v>4</v>
      </c>
    </row>
    <row r="304" spans="1:9" x14ac:dyDescent="0.25">
      <c r="A304" s="3" t="s">
        <v>161</v>
      </c>
      <c r="B304" s="3" t="s">
        <v>7</v>
      </c>
      <c r="C304" s="3" t="s">
        <v>162</v>
      </c>
      <c r="D304" s="3" t="s">
        <v>163</v>
      </c>
      <c r="E304" s="3" t="s">
        <v>72</v>
      </c>
      <c r="F304" s="3" t="s">
        <v>164</v>
      </c>
      <c r="G304" s="3" t="s">
        <v>7</v>
      </c>
      <c r="H304" s="3" t="s">
        <v>73</v>
      </c>
      <c r="I304" s="4">
        <v>2</v>
      </c>
    </row>
    <row r="305" spans="1:9" x14ac:dyDescent="0.25">
      <c r="A305" s="3" t="s">
        <v>161</v>
      </c>
      <c r="B305" s="3" t="s">
        <v>4</v>
      </c>
      <c r="C305" s="3" t="s">
        <v>162</v>
      </c>
      <c r="D305" s="3" t="s">
        <v>163</v>
      </c>
      <c r="E305" s="3" t="s">
        <v>47</v>
      </c>
      <c r="F305" s="3" t="s">
        <v>164</v>
      </c>
      <c r="G305" s="3" t="s">
        <v>4</v>
      </c>
      <c r="H305" s="3" t="s">
        <v>49</v>
      </c>
      <c r="I305" s="4">
        <v>1</v>
      </c>
    </row>
    <row r="306" spans="1:9" x14ac:dyDescent="0.25">
      <c r="A306" s="3" t="s">
        <v>161</v>
      </c>
      <c r="B306" s="3" t="s">
        <v>4</v>
      </c>
      <c r="C306" s="3" t="s">
        <v>162</v>
      </c>
      <c r="D306" s="3" t="s">
        <v>163</v>
      </c>
      <c r="E306" s="3" t="s">
        <v>98</v>
      </c>
      <c r="F306" s="3" t="s">
        <v>164</v>
      </c>
      <c r="G306" s="3" t="s">
        <v>4</v>
      </c>
      <c r="H306" s="3" t="s">
        <v>100</v>
      </c>
      <c r="I306" s="4">
        <v>1</v>
      </c>
    </row>
    <row r="307" spans="1:9" x14ac:dyDescent="0.25">
      <c r="A307" s="3" t="s">
        <v>161</v>
      </c>
      <c r="B307" s="3" t="s">
        <v>4</v>
      </c>
      <c r="C307" s="3" t="s">
        <v>162</v>
      </c>
      <c r="D307" s="3" t="s">
        <v>163</v>
      </c>
      <c r="E307" s="3" t="s">
        <v>75</v>
      </c>
      <c r="F307" s="3" t="s">
        <v>164</v>
      </c>
      <c r="G307" s="3" t="s">
        <v>4</v>
      </c>
      <c r="H307" s="3" t="s">
        <v>77</v>
      </c>
      <c r="I307" s="4">
        <v>1</v>
      </c>
    </row>
    <row r="308" spans="1:9" x14ac:dyDescent="0.25">
      <c r="A308" s="3" t="s">
        <v>161</v>
      </c>
      <c r="B308" s="3" t="s">
        <v>4</v>
      </c>
      <c r="C308" s="3" t="s">
        <v>162</v>
      </c>
      <c r="D308" s="3" t="s">
        <v>163</v>
      </c>
      <c r="E308" s="3" t="s">
        <v>81</v>
      </c>
      <c r="F308" s="3" t="s">
        <v>164</v>
      </c>
      <c r="G308" s="3" t="s">
        <v>4</v>
      </c>
      <c r="H308" s="3" t="s">
        <v>83</v>
      </c>
      <c r="I308" s="4">
        <v>1</v>
      </c>
    </row>
    <row r="309" spans="1:9" x14ac:dyDescent="0.25">
      <c r="A309" s="3" t="s">
        <v>169</v>
      </c>
      <c r="B309" s="3" t="s">
        <v>263</v>
      </c>
      <c r="C309" s="3" t="s">
        <v>170</v>
      </c>
      <c r="D309" s="3" t="s">
        <v>171</v>
      </c>
      <c r="E309" s="3" t="s">
        <v>72</v>
      </c>
      <c r="F309" s="3" t="s">
        <v>172</v>
      </c>
      <c r="G309" s="3" t="s">
        <v>263</v>
      </c>
      <c r="H309" s="3" t="s">
        <v>73</v>
      </c>
      <c r="I309" s="4">
        <v>3</v>
      </c>
    </row>
    <row r="310" spans="1:9" x14ac:dyDescent="0.25">
      <c r="A310" s="3" t="s">
        <v>169</v>
      </c>
      <c r="B310" s="3" t="s">
        <v>263</v>
      </c>
      <c r="C310" s="3" t="s">
        <v>170</v>
      </c>
      <c r="D310" s="3" t="s">
        <v>171</v>
      </c>
      <c r="E310" s="3" t="s">
        <v>47</v>
      </c>
      <c r="F310" s="3" t="s">
        <v>172</v>
      </c>
      <c r="G310" s="3" t="s">
        <v>263</v>
      </c>
      <c r="H310" s="3" t="s">
        <v>49</v>
      </c>
      <c r="I310" s="4">
        <v>3</v>
      </c>
    </row>
    <row r="311" spans="1:9" x14ac:dyDescent="0.25">
      <c r="A311" s="3" t="s">
        <v>169</v>
      </c>
      <c r="B311" s="3" t="s">
        <v>7</v>
      </c>
      <c r="C311" s="3" t="s">
        <v>170</v>
      </c>
      <c r="D311" s="3" t="s">
        <v>171</v>
      </c>
      <c r="E311" s="3" t="s">
        <v>98</v>
      </c>
      <c r="F311" s="3" t="s">
        <v>172</v>
      </c>
      <c r="G311" s="3" t="s">
        <v>7</v>
      </c>
      <c r="H311" s="3" t="s">
        <v>100</v>
      </c>
      <c r="I311" s="4">
        <v>2</v>
      </c>
    </row>
    <row r="312" spans="1:9" x14ac:dyDescent="0.25">
      <c r="A312" s="3" t="s">
        <v>169</v>
      </c>
      <c r="B312" s="3" t="s">
        <v>7</v>
      </c>
      <c r="C312" s="3" t="s">
        <v>170</v>
      </c>
      <c r="D312" s="3" t="s">
        <v>171</v>
      </c>
      <c r="E312" s="3" t="s">
        <v>109</v>
      </c>
      <c r="F312" s="3" t="s">
        <v>172</v>
      </c>
      <c r="G312" s="3" t="s">
        <v>7</v>
      </c>
      <c r="H312" s="3" t="s">
        <v>110</v>
      </c>
      <c r="I312" s="4">
        <v>2</v>
      </c>
    </row>
    <row r="313" spans="1:9" x14ac:dyDescent="0.25">
      <c r="A313" s="3" t="s">
        <v>169</v>
      </c>
      <c r="B313" s="3" t="s">
        <v>7</v>
      </c>
      <c r="C313" s="3" t="s">
        <v>170</v>
      </c>
      <c r="D313" s="3" t="s">
        <v>171</v>
      </c>
      <c r="E313" s="3" t="s">
        <v>78</v>
      </c>
      <c r="F313" s="3" t="s">
        <v>172</v>
      </c>
      <c r="G313" s="3" t="s">
        <v>7</v>
      </c>
      <c r="H313" s="3" t="s">
        <v>79</v>
      </c>
      <c r="I313" s="4">
        <v>2</v>
      </c>
    </row>
    <row r="314" spans="1:9" x14ac:dyDescent="0.25">
      <c r="A314" s="3" t="s">
        <v>169</v>
      </c>
      <c r="B314" s="3" t="s">
        <v>7</v>
      </c>
      <c r="C314" s="3" t="s">
        <v>170</v>
      </c>
      <c r="D314" s="3" t="s">
        <v>171</v>
      </c>
      <c r="E314" s="3" t="s">
        <v>114</v>
      </c>
      <c r="F314" s="3" t="s">
        <v>172</v>
      </c>
      <c r="G314" s="3" t="s">
        <v>7</v>
      </c>
      <c r="H314" s="3" t="s">
        <v>116</v>
      </c>
      <c r="I314" s="4">
        <v>2</v>
      </c>
    </row>
    <row r="315" spans="1:9" x14ac:dyDescent="0.25">
      <c r="A315" s="3" t="s">
        <v>169</v>
      </c>
      <c r="B315" s="3" t="s">
        <v>7</v>
      </c>
      <c r="C315" s="3" t="s">
        <v>170</v>
      </c>
      <c r="D315" s="3" t="s">
        <v>171</v>
      </c>
      <c r="E315" s="3" t="s">
        <v>81</v>
      </c>
      <c r="F315" s="3" t="s">
        <v>172</v>
      </c>
      <c r="G315" s="3" t="s">
        <v>7</v>
      </c>
      <c r="H315" s="3" t="s">
        <v>83</v>
      </c>
      <c r="I315" s="4">
        <v>2</v>
      </c>
    </row>
    <row r="316" spans="1:9" x14ac:dyDescent="0.25">
      <c r="A316" s="3" t="s">
        <v>169</v>
      </c>
      <c r="B316" s="3" t="s">
        <v>7</v>
      </c>
      <c r="C316" s="3" t="s">
        <v>170</v>
      </c>
      <c r="D316" s="3" t="s">
        <v>171</v>
      </c>
      <c r="E316" s="3" t="s">
        <v>125</v>
      </c>
      <c r="F316" s="3" t="s">
        <v>172</v>
      </c>
      <c r="G316" s="3" t="s">
        <v>7</v>
      </c>
      <c r="H316" s="3" t="s">
        <v>126</v>
      </c>
      <c r="I316" s="4">
        <v>2</v>
      </c>
    </row>
    <row r="317" spans="1:9" x14ac:dyDescent="0.25">
      <c r="A317" s="3" t="s">
        <v>169</v>
      </c>
      <c r="B317" s="3" t="s">
        <v>7</v>
      </c>
      <c r="C317" s="3" t="s">
        <v>170</v>
      </c>
      <c r="D317" s="3" t="s">
        <v>171</v>
      </c>
      <c r="E317" s="3" t="s">
        <v>75</v>
      </c>
      <c r="F317" s="3" t="s">
        <v>172</v>
      </c>
      <c r="G317" s="3" t="s">
        <v>7</v>
      </c>
      <c r="H317" s="3" t="s">
        <v>77</v>
      </c>
      <c r="I317" s="4">
        <v>2</v>
      </c>
    </row>
    <row r="318" spans="1:9" x14ac:dyDescent="0.25">
      <c r="A318" s="3" t="s">
        <v>169</v>
      </c>
      <c r="B318" s="3" t="s">
        <v>4</v>
      </c>
      <c r="C318" s="3" t="s">
        <v>170</v>
      </c>
      <c r="D318" s="3" t="s">
        <v>171</v>
      </c>
      <c r="E318" s="3" t="s">
        <v>37</v>
      </c>
      <c r="F318" s="3" t="s">
        <v>172</v>
      </c>
      <c r="G318" s="3" t="s">
        <v>4</v>
      </c>
      <c r="H318" s="3" t="s">
        <v>39</v>
      </c>
      <c r="I318" s="4">
        <v>1</v>
      </c>
    </row>
    <row r="319" spans="1:9" x14ac:dyDescent="0.25">
      <c r="A319" s="3" t="s">
        <v>169</v>
      </c>
      <c r="B319" s="3" t="s">
        <v>4</v>
      </c>
      <c r="C319" s="3" t="s">
        <v>170</v>
      </c>
      <c r="D319" s="3" t="s">
        <v>171</v>
      </c>
      <c r="E319" s="3" t="s">
        <v>43</v>
      </c>
      <c r="F319" s="3" t="s">
        <v>172</v>
      </c>
      <c r="G319" s="3" t="s">
        <v>4</v>
      </c>
      <c r="H319" s="3" t="s">
        <v>45</v>
      </c>
      <c r="I319" s="4">
        <v>1</v>
      </c>
    </row>
    <row r="320" spans="1:9" x14ac:dyDescent="0.25">
      <c r="A320" s="3" t="s">
        <v>169</v>
      </c>
      <c r="B320" s="3" t="s">
        <v>4</v>
      </c>
      <c r="C320" s="3" t="s">
        <v>170</v>
      </c>
      <c r="D320" s="3" t="s">
        <v>171</v>
      </c>
      <c r="E320" s="3" t="s">
        <v>119</v>
      </c>
      <c r="F320" s="3" t="s">
        <v>172</v>
      </c>
      <c r="G320" s="3" t="s">
        <v>4</v>
      </c>
      <c r="H320" s="3" t="s">
        <v>120</v>
      </c>
      <c r="I320" s="4">
        <v>1</v>
      </c>
    </row>
    <row r="321" spans="1:9" x14ac:dyDescent="0.25">
      <c r="A321" s="3" t="s">
        <v>169</v>
      </c>
      <c r="B321" s="3" t="s">
        <v>4</v>
      </c>
      <c r="C321" s="3" t="s">
        <v>170</v>
      </c>
      <c r="D321" s="3" t="s">
        <v>171</v>
      </c>
      <c r="E321" s="3" t="s">
        <v>266</v>
      </c>
      <c r="F321" s="3" t="s">
        <v>172</v>
      </c>
      <c r="G321" s="3" t="s">
        <v>4</v>
      </c>
      <c r="H321" s="3" t="s">
        <v>267</v>
      </c>
      <c r="I321" s="4">
        <v>1</v>
      </c>
    </row>
    <row r="322" spans="1:9" x14ac:dyDescent="0.25">
      <c r="A322" s="3" t="s">
        <v>169</v>
      </c>
      <c r="B322" s="3" t="s">
        <v>4</v>
      </c>
      <c r="C322" s="3" t="s">
        <v>170</v>
      </c>
      <c r="D322" s="3" t="s">
        <v>171</v>
      </c>
      <c r="E322" s="3" t="s">
        <v>60</v>
      </c>
      <c r="F322" s="3" t="s">
        <v>172</v>
      </c>
      <c r="G322" s="3" t="s">
        <v>4</v>
      </c>
      <c r="H322" s="3" t="s">
        <v>61</v>
      </c>
      <c r="I322" s="4">
        <v>1</v>
      </c>
    </row>
    <row r="323" spans="1:9" x14ac:dyDescent="0.25">
      <c r="A323" s="3" t="s">
        <v>169</v>
      </c>
      <c r="B323" s="3" t="s">
        <v>4</v>
      </c>
      <c r="C323" s="3" t="s">
        <v>170</v>
      </c>
      <c r="D323" s="3" t="s">
        <v>171</v>
      </c>
      <c r="E323" s="3" t="s">
        <v>268</v>
      </c>
      <c r="F323" s="3" t="s">
        <v>172</v>
      </c>
      <c r="G323" s="3" t="s">
        <v>4</v>
      </c>
      <c r="H323" s="3" t="s">
        <v>269</v>
      </c>
      <c r="I323" s="4">
        <v>1</v>
      </c>
    </row>
    <row r="324" spans="1:9" x14ac:dyDescent="0.25">
      <c r="A324" s="3" t="s">
        <v>169</v>
      </c>
      <c r="B324" s="3" t="s">
        <v>4</v>
      </c>
      <c r="C324" s="3" t="s">
        <v>170</v>
      </c>
      <c r="D324" s="3" t="s">
        <v>171</v>
      </c>
      <c r="E324" s="3" t="s">
        <v>89</v>
      </c>
      <c r="F324" s="3" t="s">
        <v>172</v>
      </c>
      <c r="G324" s="3" t="s">
        <v>4</v>
      </c>
      <c r="H324" s="3" t="s">
        <v>90</v>
      </c>
      <c r="I324" s="4">
        <v>1</v>
      </c>
    </row>
    <row r="325" spans="1:9" x14ac:dyDescent="0.25">
      <c r="A325" s="3" t="s">
        <v>169</v>
      </c>
      <c r="B325" s="3" t="s">
        <v>4</v>
      </c>
      <c r="C325" s="3" t="s">
        <v>170</v>
      </c>
      <c r="D325" s="3" t="s">
        <v>171</v>
      </c>
      <c r="E325" s="3" t="s">
        <v>85</v>
      </c>
      <c r="F325" s="3" t="s">
        <v>172</v>
      </c>
      <c r="G325" s="3" t="s">
        <v>4</v>
      </c>
      <c r="H325" s="3" t="s">
        <v>87</v>
      </c>
      <c r="I325" s="4">
        <v>1</v>
      </c>
    </row>
    <row r="326" spans="1:9" x14ac:dyDescent="0.25">
      <c r="A326" s="3" t="s">
        <v>193</v>
      </c>
      <c r="B326" s="3" t="s">
        <v>7</v>
      </c>
      <c r="C326" s="3" t="s">
        <v>162</v>
      </c>
      <c r="D326" s="3" t="s">
        <v>163</v>
      </c>
      <c r="E326" s="3" t="s">
        <v>75</v>
      </c>
      <c r="F326" s="3" t="s">
        <v>194</v>
      </c>
      <c r="G326" s="3" t="s">
        <v>7</v>
      </c>
      <c r="H326" s="3" t="s">
        <v>77</v>
      </c>
      <c r="I326" s="4">
        <v>2</v>
      </c>
    </row>
    <row r="327" spans="1:9" x14ac:dyDescent="0.25">
      <c r="A327" s="3" t="s">
        <v>193</v>
      </c>
      <c r="B327" s="3" t="s">
        <v>7</v>
      </c>
      <c r="C327" s="3" t="s">
        <v>162</v>
      </c>
      <c r="D327" s="3" t="s">
        <v>163</v>
      </c>
      <c r="E327" s="3" t="s">
        <v>114</v>
      </c>
      <c r="F327" s="3" t="s">
        <v>194</v>
      </c>
      <c r="G327" s="3" t="s">
        <v>7</v>
      </c>
      <c r="H327" s="3" t="s">
        <v>116</v>
      </c>
      <c r="I327" s="4">
        <v>2</v>
      </c>
    </row>
    <row r="328" spans="1:9" x14ac:dyDescent="0.25">
      <c r="A328" s="3" t="s">
        <v>193</v>
      </c>
      <c r="B328" s="3" t="s">
        <v>7</v>
      </c>
      <c r="C328" s="3" t="s">
        <v>162</v>
      </c>
      <c r="D328" s="3" t="s">
        <v>163</v>
      </c>
      <c r="E328" s="3" t="s">
        <v>98</v>
      </c>
      <c r="F328" s="3" t="s">
        <v>194</v>
      </c>
      <c r="G328" s="3" t="s">
        <v>7</v>
      </c>
      <c r="H328" s="3" t="s">
        <v>100</v>
      </c>
      <c r="I328" s="4">
        <v>2</v>
      </c>
    </row>
    <row r="329" spans="1:9" x14ac:dyDescent="0.25">
      <c r="A329" s="3" t="s">
        <v>193</v>
      </c>
      <c r="B329" s="3" t="s">
        <v>4</v>
      </c>
      <c r="C329" s="3" t="s">
        <v>162</v>
      </c>
      <c r="D329" s="3" t="s">
        <v>163</v>
      </c>
      <c r="E329" s="3" t="s">
        <v>109</v>
      </c>
      <c r="F329" s="3" t="s">
        <v>194</v>
      </c>
      <c r="G329" s="3" t="s">
        <v>4</v>
      </c>
      <c r="H329" s="3" t="s">
        <v>110</v>
      </c>
      <c r="I329" s="4">
        <v>1</v>
      </c>
    </row>
    <row r="330" spans="1:9" x14ac:dyDescent="0.25">
      <c r="A330" s="3" t="s">
        <v>193</v>
      </c>
      <c r="B330" s="3" t="s">
        <v>4</v>
      </c>
      <c r="C330" s="3" t="s">
        <v>162</v>
      </c>
      <c r="D330" s="3" t="s">
        <v>163</v>
      </c>
      <c r="E330" s="3" t="s">
        <v>78</v>
      </c>
      <c r="F330" s="3" t="s">
        <v>194</v>
      </c>
      <c r="G330" s="3" t="s">
        <v>4</v>
      </c>
      <c r="H330" s="3" t="s">
        <v>79</v>
      </c>
      <c r="I330" s="4">
        <v>1</v>
      </c>
    </row>
    <row r="331" spans="1:9" x14ac:dyDescent="0.25">
      <c r="A331" s="3" t="s">
        <v>193</v>
      </c>
      <c r="B331" s="3" t="s">
        <v>4</v>
      </c>
      <c r="C331" s="3" t="s">
        <v>162</v>
      </c>
      <c r="D331" s="3" t="s">
        <v>163</v>
      </c>
      <c r="E331" s="3" t="s">
        <v>81</v>
      </c>
      <c r="F331" s="3" t="s">
        <v>194</v>
      </c>
      <c r="G331" s="3" t="s">
        <v>4</v>
      </c>
      <c r="H331" s="3" t="s">
        <v>83</v>
      </c>
      <c r="I331" s="4">
        <v>1</v>
      </c>
    </row>
    <row r="332" spans="1:9" x14ac:dyDescent="0.25">
      <c r="A332" s="3" t="s">
        <v>68</v>
      </c>
      <c r="B332" s="3" t="s">
        <v>263</v>
      </c>
      <c r="C332" s="3" t="s">
        <v>35</v>
      </c>
      <c r="D332" s="3" t="s">
        <v>36</v>
      </c>
      <c r="E332" s="3" t="s">
        <v>37</v>
      </c>
      <c r="F332" s="3" t="s">
        <v>69</v>
      </c>
      <c r="G332" s="3" t="s">
        <v>263</v>
      </c>
      <c r="H332" s="3" t="s">
        <v>39</v>
      </c>
      <c r="I332" s="4">
        <v>3</v>
      </c>
    </row>
    <row r="333" spans="1:9" x14ac:dyDescent="0.25">
      <c r="A333" s="3" t="s">
        <v>68</v>
      </c>
      <c r="B333" s="3" t="s">
        <v>4</v>
      </c>
      <c r="C333" s="3" t="s">
        <v>35</v>
      </c>
      <c r="D333" s="3" t="s">
        <v>36</v>
      </c>
      <c r="E333" s="3" t="s">
        <v>63</v>
      </c>
      <c r="F333" s="3" t="s">
        <v>69</v>
      </c>
      <c r="G333" s="3" t="s">
        <v>4</v>
      </c>
      <c r="H333" s="3" t="s">
        <v>65</v>
      </c>
      <c r="I333" s="4">
        <v>1</v>
      </c>
    </row>
    <row r="334" spans="1:9" x14ac:dyDescent="0.25">
      <c r="A334" s="3" t="s">
        <v>68</v>
      </c>
      <c r="B334" s="3" t="s">
        <v>4</v>
      </c>
      <c r="C334" s="3" t="s">
        <v>35</v>
      </c>
      <c r="D334" s="3" t="s">
        <v>36</v>
      </c>
      <c r="E334" s="3" t="s">
        <v>72</v>
      </c>
      <c r="F334" s="3" t="s">
        <v>69</v>
      </c>
      <c r="G334" s="3" t="s">
        <v>4</v>
      </c>
      <c r="H334" s="3" t="s">
        <v>73</v>
      </c>
      <c r="I334" s="4">
        <v>1</v>
      </c>
    </row>
    <row r="335" spans="1:9" x14ac:dyDescent="0.25">
      <c r="A335" s="3" t="s">
        <v>134</v>
      </c>
      <c r="B335" s="3" t="s">
        <v>270</v>
      </c>
      <c r="C335" s="3" t="s">
        <v>35</v>
      </c>
      <c r="D335" s="3" t="s">
        <v>36</v>
      </c>
      <c r="E335" s="3" t="s">
        <v>78</v>
      </c>
      <c r="F335" s="3" t="s">
        <v>135</v>
      </c>
      <c r="G335" s="3" t="s">
        <v>16</v>
      </c>
      <c r="H335" s="3" t="s">
        <v>79</v>
      </c>
      <c r="I335" s="4">
        <v>5</v>
      </c>
    </row>
    <row r="336" spans="1:9" x14ac:dyDescent="0.25">
      <c r="A336" s="3" t="s">
        <v>134</v>
      </c>
      <c r="B336" s="3" t="s">
        <v>270</v>
      </c>
      <c r="C336" s="3" t="s">
        <v>35</v>
      </c>
      <c r="D336" s="3" t="s">
        <v>36</v>
      </c>
      <c r="E336" s="3" t="s">
        <v>53</v>
      </c>
      <c r="F336" s="3" t="s">
        <v>135</v>
      </c>
      <c r="G336" s="3" t="s">
        <v>16</v>
      </c>
      <c r="H336" s="3" t="s">
        <v>55</v>
      </c>
      <c r="I336" s="4">
        <v>5</v>
      </c>
    </row>
    <row r="337" spans="1:9" x14ac:dyDescent="0.25">
      <c r="A337" s="3" t="s">
        <v>134</v>
      </c>
      <c r="B337" s="3" t="s">
        <v>270</v>
      </c>
      <c r="C337" s="3" t="s">
        <v>35</v>
      </c>
      <c r="D337" s="3" t="s">
        <v>36</v>
      </c>
      <c r="E337" s="3" t="s">
        <v>60</v>
      </c>
      <c r="F337" s="3" t="s">
        <v>135</v>
      </c>
      <c r="G337" s="3" t="s">
        <v>16</v>
      </c>
      <c r="H337" s="3" t="s">
        <v>61</v>
      </c>
      <c r="I337" s="4">
        <v>5</v>
      </c>
    </row>
    <row r="338" spans="1:9" x14ac:dyDescent="0.25">
      <c r="A338" s="3" t="s">
        <v>134</v>
      </c>
      <c r="B338" s="3" t="s">
        <v>271</v>
      </c>
      <c r="C338" s="3" t="s">
        <v>35</v>
      </c>
      <c r="D338" s="3" t="s">
        <v>36</v>
      </c>
      <c r="E338" s="3" t="s">
        <v>75</v>
      </c>
      <c r="F338" s="3" t="s">
        <v>135</v>
      </c>
      <c r="G338" s="3" t="s">
        <v>273</v>
      </c>
      <c r="H338" s="3" t="s">
        <v>77</v>
      </c>
      <c r="I338" s="4">
        <v>4</v>
      </c>
    </row>
    <row r="339" spans="1:9" x14ac:dyDescent="0.25">
      <c r="A339" s="3" t="s">
        <v>134</v>
      </c>
      <c r="B339" s="3" t="s">
        <v>272</v>
      </c>
      <c r="C339" s="3" t="s">
        <v>35</v>
      </c>
      <c r="D339" s="3" t="s">
        <v>36</v>
      </c>
      <c r="E339" s="3" t="s">
        <v>114</v>
      </c>
      <c r="F339" s="3" t="s">
        <v>135</v>
      </c>
      <c r="G339" s="3" t="s">
        <v>273</v>
      </c>
      <c r="H339" s="3" t="s">
        <v>116</v>
      </c>
      <c r="I339" s="4">
        <v>4</v>
      </c>
    </row>
    <row r="340" spans="1:9" x14ac:dyDescent="0.25">
      <c r="A340" s="3" t="s">
        <v>134</v>
      </c>
      <c r="B340" s="3" t="s">
        <v>263</v>
      </c>
      <c r="C340" s="3" t="s">
        <v>35</v>
      </c>
      <c r="D340" s="3" t="s">
        <v>36</v>
      </c>
      <c r="E340" s="3" t="s">
        <v>85</v>
      </c>
      <c r="F340" s="3" t="s">
        <v>135</v>
      </c>
      <c r="G340" s="3" t="s">
        <v>263</v>
      </c>
      <c r="H340" s="3" t="s">
        <v>87</v>
      </c>
      <c r="I340" s="4">
        <v>3</v>
      </c>
    </row>
    <row r="341" spans="1:9" x14ac:dyDescent="0.25">
      <c r="A341" s="3" t="s">
        <v>134</v>
      </c>
      <c r="B341" s="3" t="s">
        <v>263</v>
      </c>
      <c r="C341" s="3" t="s">
        <v>35</v>
      </c>
      <c r="D341" s="3" t="s">
        <v>36</v>
      </c>
      <c r="E341" s="3" t="s">
        <v>98</v>
      </c>
      <c r="F341" s="3" t="s">
        <v>135</v>
      </c>
      <c r="G341" s="3" t="s">
        <v>263</v>
      </c>
      <c r="H341" s="3" t="s">
        <v>100</v>
      </c>
      <c r="I341" s="4">
        <v>3</v>
      </c>
    </row>
    <row r="342" spans="1:9" x14ac:dyDescent="0.25">
      <c r="A342" s="3" t="s">
        <v>134</v>
      </c>
      <c r="B342" s="3" t="s">
        <v>7</v>
      </c>
      <c r="C342" s="3" t="s">
        <v>35</v>
      </c>
      <c r="D342" s="3" t="s">
        <v>36</v>
      </c>
      <c r="E342" s="3" t="s">
        <v>107</v>
      </c>
      <c r="F342" s="3" t="s">
        <v>135</v>
      </c>
      <c r="G342" s="3" t="s">
        <v>7</v>
      </c>
      <c r="H342" s="3" t="s">
        <v>108</v>
      </c>
      <c r="I342" s="4">
        <v>2</v>
      </c>
    </row>
    <row r="343" spans="1:9" x14ac:dyDescent="0.25">
      <c r="A343" s="3" t="s">
        <v>134</v>
      </c>
      <c r="B343" s="3" t="s">
        <v>7</v>
      </c>
      <c r="C343" s="3" t="s">
        <v>35</v>
      </c>
      <c r="D343" s="3" t="s">
        <v>36</v>
      </c>
      <c r="E343" s="3" t="s">
        <v>125</v>
      </c>
      <c r="F343" s="3" t="s">
        <v>135</v>
      </c>
      <c r="G343" s="3" t="s">
        <v>7</v>
      </c>
      <c r="H343" s="3" t="s">
        <v>126</v>
      </c>
      <c r="I343" s="4">
        <v>2</v>
      </c>
    </row>
    <row r="344" spans="1:9" x14ac:dyDescent="0.25">
      <c r="A344" s="3" t="s">
        <v>134</v>
      </c>
      <c r="B344" s="3" t="s">
        <v>7</v>
      </c>
      <c r="C344" s="3" t="s">
        <v>35</v>
      </c>
      <c r="D344" s="3" t="s">
        <v>36</v>
      </c>
      <c r="E344" s="3" t="s">
        <v>141</v>
      </c>
      <c r="F344" s="3" t="s">
        <v>135</v>
      </c>
      <c r="G344" s="3" t="s">
        <v>7</v>
      </c>
      <c r="H344" s="3" t="s">
        <v>142</v>
      </c>
      <c r="I344" s="4">
        <v>2</v>
      </c>
    </row>
    <row r="345" spans="1:9" x14ac:dyDescent="0.25">
      <c r="A345" s="3" t="s">
        <v>134</v>
      </c>
      <c r="B345" s="3" t="s">
        <v>7</v>
      </c>
      <c r="C345" s="3" t="s">
        <v>35</v>
      </c>
      <c r="D345" s="3" t="s">
        <v>36</v>
      </c>
      <c r="E345" s="3" t="s">
        <v>143</v>
      </c>
      <c r="F345" s="3" t="s">
        <v>135</v>
      </c>
      <c r="G345" s="3" t="s">
        <v>7</v>
      </c>
      <c r="H345" s="3" t="s">
        <v>144</v>
      </c>
      <c r="I345" s="4">
        <v>2</v>
      </c>
    </row>
    <row r="346" spans="1:9" x14ac:dyDescent="0.25">
      <c r="A346" s="3" t="s">
        <v>97</v>
      </c>
      <c r="B346" s="3" t="s">
        <v>7</v>
      </c>
      <c r="C346" s="3" t="s">
        <v>35</v>
      </c>
      <c r="D346" s="3" t="s">
        <v>36</v>
      </c>
      <c r="E346" s="3" t="s">
        <v>75</v>
      </c>
      <c r="F346" s="3" t="s">
        <v>99</v>
      </c>
      <c r="G346" s="3" t="s">
        <v>7</v>
      </c>
      <c r="H346" s="3" t="s">
        <v>77</v>
      </c>
      <c r="I346" s="4">
        <v>2</v>
      </c>
    </row>
    <row r="347" spans="1:9" x14ac:dyDescent="0.25">
      <c r="A347" s="3" t="s">
        <v>97</v>
      </c>
      <c r="B347" s="3" t="s">
        <v>7</v>
      </c>
      <c r="C347" s="3" t="s">
        <v>35</v>
      </c>
      <c r="D347" s="3" t="s">
        <v>36</v>
      </c>
      <c r="E347" s="3" t="s">
        <v>143</v>
      </c>
      <c r="F347" s="3" t="s">
        <v>99</v>
      </c>
      <c r="G347" s="3" t="s">
        <v>7</v>
      </c>
      <c r="H347" s="3" t="s">
        <v>144</v>
      </c>
      <c r="I347" s="4">
        <v>2</v>
      </c>
    </row>
    <row r="348" spans="1:9" x14ac:dyDescent="0.25">
      <c r="A348" s="3" t="s">
        <v>97</v>
      </c>
      <c r="B348" s="3" t="s">
        <v>4</v>
      </c>
      <c r="C348" s="3" t="s">
        <v>35</v>
      </c>
      <c r="D348" s="3" t="s">
        <v>36</v>
      </c>
      <c r="E348" s="3" t="s">
        <v>98</v>
      </c>
      <c r="F348" s="3" t="s">
        <v>99</v>
      </c>
      <c r="G348" s="3" t="s">
        <v>4</v>
      </c>
      <c r="H348" s="3" t="s">
        <v>100</v>
      </c>
      <c r="I348" s="4">
        <v>1</v>
      </c>
    </row>
    <row r="349" spans="1:9" x14ac:dyDescent="0.25">
      <c r="A349" s="3" t="s">
        <v>228</v>
      </c>
      <c r="B349" s="3" t="s">
        <v>4</v>
      </c>
      <c r="C349" s="3" t="s">
        <v>198</v>
      </c>
      <c r="D349" s="3" t="s">
        <v>229</v>
      </c>
      <c r="E349" s="3" t="s">
        <v>78</v>
      </c>
      <c r="F349" s="3" t="s">
        <v>230</v>
      </c>
      <c r="G349" s="3" t="s">
        <v>4</v>
      </c>
      <c r="H349" s="3" t="s">
        <v>79</v>
      </c>
      <c r="I349" s="4">
        <v>1</v>
      </c>
    </row>
    <row r="350" spans="1:9" x14ac:dyDescent="0.25">
      <c r="A350" s="3" t="s">
        <v>228</v>
      </c>
      <c r="B350" s="3" t="s">
        <v>4</v>
      </c>
      <c r="C350" s="3" t="s">
        <v>198</v>
      </c>
      <c r="D350" s="3" t="s">
        <v>229</v>
      </c>
      <c r="E350" s="3" t="s">
        <v>63</v>
      </c>
      <c r="F350" s="3" t="s">
        <v>230</v>
      </c>
      <c r="G350" s="3" t="s">
        <v>4</v>
      </c>
      <c r="H350" s="3" t="s">
        <v>65</v>
      </c>
      <c r="I350" s="4">
        <v>1</v>
      </c>
    </row>
    <row r="351" spans="1:9" x14ac:dyDescent="0.25">
      <c r="A351" s="3" t="s">
        <v>247</v>
      </c>
      <c r="B351" s="3" t="s">
        <v>4</v>
      </c>
      <c r="C351" s="3" t="s">
        <v>188</v>
      </c>
      <c r="D351" s="3" t="s">
        <v>171</v>
      </c>
      <c r="E351" s="3" t="s">
        <v>81</v>
      </c>
      <c r="F351" s="3" t="s">
        <v>248</v>
      </c>
      <c r="G351" s="3" t="s">
        <v>4</v>
      </c>
      <c r="H351" s="3" t="s">
        <v>83</v>
      </c>
      <c r="I351" s="4">
        <v>1</v>
      </c>
    </row>
    <row r="352" spans="1:9" x14ac:dyDescent="0.25">
      <c r="A352" s="3" t="s">
        <v>200</v>
      </c>
      <c r="B352" s="3" t="s">
        <v>263</v>
      </c>
      <c r="C352" s="3" t="s">
        <v>145</v>
      </c>
      <c r="D352" s="3" t="s">
        <v>146</v>
      </c>
      <c r="E352" s="3" t="s">
        <v>47</v>
      </c>
      <c r="F352" s="3" t="s">
        <v>201</v>
      </c>
      <c r="G352" s="3" t="s">
        <v>263</v>
      </c>
      <c r="H352" s="3" t="s">
        <v>49</v>
      </c>
      <c r="I352" s="4">
        <v>3</v>
      </c>
    </row>
    <row r="353" spans="1:9" x14ac:dyDescent="0.25">
      <c r="A353" s="3" t="s">
        <v>200</v>
      </c>
      <c r="B353" s="3" t="s">
        <v>4</v>
      </c>
      <c r="C353" s="3" t="s">
        <v>145</v>
      </c>
      <c r="D353" s="3" t="s">
        <v>146</v>
      </c>
      <c r="E353" s="3" t="s">
        <v>63</v>
      </c>
      <c r="F353" s="3" t="s">
        <v>201</v>
      </c>
      <c r="G353" s="3" t="s">
        <v>4</v>
      </c>
      <c r="H353" s="3" t="s">
        <v>65</v>
      </c>
      <c r="I353" s="4">
        <v>1</v>
      </c>
    </row>
    <row r="354" spans="1:9" x14ac:dyDescent="0.25">
      <c r="A354" s="3" t="s">
        <v>200</v>
      </c>
      <c r="B354" s="3" t="s">
        <v>4</v>
      </c>
      <c r="C354" s="3" t="s">
        <v>145</v>
      </c>
      <c r="D354" s="3" t="s">
        <v>146</v>
      </c>
      <c r="E354" s="3" t="s">
        <v>119</v>
      </c>
      <c r="F354" s="3" t="s">
        <v>201</v>
      </c>
      <c r="G354" s="3" t="s">
        <v>4</v>
      </c>
      <c r="H354" s="3" t="s">
        <v>120</v>
      </c>
      <c r="I354" s="4">
        <v>1</v>
      </c>
    </row>
    <row r="355" spans="1:9" x14ac:dyDescent="0.25">
      <c r="A355" s="3" t="s">
        <v>200</v>
      </c>
      <c r="B355" s="3" t="s">
        <v>4</v>
      </c>
      <c r="C355" s="3" t="s">
        <v>145</v>
      </c>
      <c r="D355" s="3" t="s">
        <v>146</v>
      </c>
      <c r="E355" s="3" t="s">
        <v>60</v>
      </c>
      <c r="F355" s="3" t="s">
        <v>201</v>
      </c>
      <c r="G355" s="3" t="s">
        <v>4</v>
      </c>
      <c r="H355" s="3" t="s">
        <v>61</v>
      </c>
      <c r="I355" s="4">
        <v>1</v>
      </c>
    </row>
    <row r="356" spans="1:9" x14ac:dyDescent="0.25">
      <c r="A356" s="3" t="s">
        <v>200</v>
      </c>
      <c r="B356" s="3" t="s">
        <v>4</v>
      </c>
      <c r="C356" s="3" t="s">
        <v>145</v>
      </c>
      <c r="D356" s="3" t="s">
        <v>146</v>
      </c>
      <c r="E356" s="3" t="s">
        <v>81</v>
      </c>
      <c r="F356" s="3" t="s">
        <v>201</v>
      </c>
      <c r="G356" s="3" t="s">
        <v>4</v>
      </c>
      <c r="H356" s="3" t="s">
        <v>83</v>
      </c>
      <c r="I356" s="4">
        <v>1</v>
      </c>
    </row>
    <row r="357" spans="1:9" x14ac:dyDescent="0.25">
      <c r="A357" s="3" t="s">
        <v>91</v>
      </c>
      <c r="B357" s="3" t="s">
        <v>272</v>
      </c>
      <c r="C357" s="3" t="s">
        <v>35</v>
      </c>
      <c r="D357" s="3" t="s">
        <v>36</v>
      </c>
      <c r="E357" s="3" t="s">
        <v>63</v>
      </c>
      <c r="F357" s="3" t="s">
        <v>92</v>
      </c>
      <c r="G357" s="3" t="s">
        <v>273</v>
      </c>
      <c r="H357" s="3" t="s">
        <v>65</v>
      </c>
      <c r="I357" s="4">
        <v>4</v>
      </c>
    </row>
    <row r="358" spans="1:9" x14ac:dyDescent="0.25">
      <c r="A358" s="3" t="s">
        <v>91</v>
      </c>
      <c r="B358" s="3" t="s">
        <v>272</v>
      </c>
      <c r="C358" s="3" t="s">
        <v>35</v>
      </c>
      <c r="D358" s="3" t="s">
        <v>36</v>
      </c>
      <c r="E358" s="3" t="s">
        <v>53</v>
      </c>
      <c r="F358" s="3" t="s">
        <v>92</v>
      </c>
      <c r="G358" s="3" t="s">
        <v>273</v>
      </c>
      <c r="H358" s="3" t="s">
        <v>55</v>
      </c>
      <c r="I358" s="4">
        <v>4</v>
      </c>
    </row>
    <row r="359" spans="1:9" x14ac:dyDescent="0.25">
      <c r="A359" s="3" t="s">
        <v>91</v>
      </c>
      <c r="B359" s="3" t="s">
        <v>7</v>
      </c>
      <c r="C359" s="3" t="s">
        <v>35</v>
      </c>
      <c r="D359" s="3" t="s">
        <v>36</v>
      </c>
      <c r="E359" s="3" t="s">
        <v>72</v>
      </c>
      <c r="F359" s="3" t="s">
        <v>92</v>
      </c>
      <c r="G359" s="3" t="s">
        <v>7</v>
      </c>
      <c r="H359" s="3" t="s">
        <v>73</v>
      </c>
      <c r="I359" s="4">
        <v>2</v>
      </c>
    </row>
    <row r="360" spans="1:9" x14ac:dyDescent="0.25">
      <c r="A360" s="3" t="s">
        <v>91</v>
      </c>
      <c r="B360" s="3" t="s">
        <v>7</v>
      </c>
      <c r="C360" s="3" t="s">
        <v>35</v>
      </c>
      <c r="D360" s="3" t="s">
        <v>36</v>
      </c>
      <c r="E360" s="3" t="s">
        <v>85</v>
      </c>
      <c r="F360" s="3" t="s">
        <v>92</v>
      </c>
      <c r="G360" s="3" t="s">
        <v>7</v>
      </c>
      <c r="H360" s="3" t="s">
        <v>87</v>
      </c>
      <c r="I360" s="4">
        <v>2</v>
      </c>
    </row>
    <row r="361" spans="1:9" x14ac:dyDescent="0.25">
      <c r="A361" s="3" t="s">
        <v>91</v>
      </c>
      <c r="B361" s="3" t="s">
        <v>7</v>
      </c>
      <c r="C361" s="3" t="s">
        <v>35</v>
      </c>
      <c r="D361" s="3" t="s">
        <v>36</v>
      </c>
      <c r="E361" s="3" t="s">
        <v>143</v>
      </c>
      <c r="F361" s="3" t="s">
        <v>92</v>
      </c>
      <c r="G361" s="3" t="s">
        <v>7</v>
      </c>
      <c r="H361" s="3" t="s">
        <v>144</v>
      </c>
      <c r="I361" s="4">
        <v>2</v>
      </c>
    </row>
    <row r="362" spans="1:9" x14ac:dyDescent="0.25">
      <c r="A362" s="3" t="s">
        <v>91</v>
      </c>
      <c r="B362" s="3" t="s">
        <v>4</v>
      </c>
      <c r="C362" s="3" t="s">
        <v>35</v>
      </c>
      <c r="D362" s="3" t="s">
        <v>36</v>
      </c>
      <c r="E362" s="3" t="s">
        <v>60</v>
      </c>
      <c r="F362" s="3" t="s">
        <v>92</v>
      </c>
      <c r="G362" s="3" t="s">
        <v>4</v>
      </c>
      <c r="H362" s="3" t="s">
        <v>61</v>
      </c>
      <c r="I362" s="4">
        <v>1</v>
      </c>
    </row>
    <row r="363" spans="1:9" x14ac:dyDescent="0.25">
      <c r="A363" s="3" t="s">
        <v>91</v>
      </c>
      <c r="B363" s="3" t="s">
        <v>4</v>
      </c>
      <c r="C363" s="3" t="s">
        <v>35</v>
      </c>
      <c r="D363" s="3" t="s">
        <v>36</v>
      </c>
      <c r="E363" s="3" t="s">
        <v>81</v>
      </c>
      <c r="F363" s="3" t="s">
        <v>92</v>
      </c>
      <c r="G363" s="3" t="s">
        <v>4</v>
      </c>
      <c r="H363" s="3" t="s">
        <v>83</v>
      </c>
      <c r="I363" s="4">
        <v>1</v>
      </c>
    </row>
    <row r="364" spans="1:9" x14ac:dyDescent="0.25">
      <c r="A364" s="3" t="s">
        <v>91</v>
      </c>
      <c r="B364" s="3" t="s">
        <v>4</v>
      </c>
      <c r="C364" s="3" t="s">
        <v>35</v>
      </c>
      <c r="D364" s="3" t="s">
        <v>36</v>
      </c>
      <c r="E364" s="3" t="s">
        <v>109</v>
      </c>
      <c r="F364" s="3" t="s">
        <v>92</v>
      </c>
      <c r="G364" s="3" t="s">
        <v>4</v>
      </c>
      <c r="H364" s="3" t="s">
        <v>110</v>
      </c>
      <c r="I364" s="4">
        <v>1</v>
      </c>
    </row>
    <row r="365" spans="1:9" x14ac:dyDescent="0.25">
      <c r="A365" s="3" t="s">
        <v>91</v>
      </c>
      <c r="B365" s="3" t="s">
        <v>4</v>
      </c>
      <c r="C365" s="3" t="s">
        <v>35</v>
      </c>
      <c r="D365" s="3" t="s">
        <v>36</v>
      </c>
      <c r="E365" s="3" t="s">
        <v>125</v>
      </c>
      <c r="F365" s="3" t="s">
        <v>92</v>
      </c>
      <c r="G365" s="3" t="s">
        <v>4</v>
      </c>
      <c r="H365" s="3" t="s">
        <v>126</v>
      </c>
      <c r="I365" s="4">
        <v>1</v>
      </c>
    </row>
    <row r="366" spans="1:9" x14ac:dyDescent="0.25">
      <c r="A366" s="3" t="s">
        <v>167</v>
      </c>
      <c r="B366" s="3" t="s">
        <v>263</v>
      </c>
      <c r="C366" s="3" t="s">
        <v>152</v>
      </c>
      <c r="D366" s="3" t="s">
        <v>153</v>
      </c>
      <c r="E366" s="3" t="s">
        <v>43</v>
      </c>
      <c r="F366" s="3" t="s">
        <v>168</v>
      </c>
      <c r="G366" s="3" t="s">
        <v>263</v>
      </c>
      <c r="H366" s="3" t="s">
        <v>45</v>
      </c>
      <c r="I366" s="4">
        <v>3</v>
      </c>
    </row>
    <row r="367" spans="1:9" x14ac:dyDescent="0.25">
      <c r="A367" s="3" t="s">
        <v>167</v>
      </c>
      <c r="B367" s="3" t="s">
        <v>4</v>
      </c>
      <c r="C367" s="3" t="s">
        <v>152</v>
      </c>
      <c r="D367" s="3" t="s">
        <v>153</v>
      </c>
      <c r="E367" s="3" t="s">
        <v>78</v>
      </c>
      <c r="F367" s="3" t="s">
        <v>168</v>
      </c>
      <c r="G367" s="3" t="s">
        <v>4</v>
      </c>
      <c r="H367" s="3" t="s">
        <v>79</v>
      </c>
      <c r="I367" s="4">
        <v>1</v>
      </c>
    </row>
    <row r="368" spans="1:9" x14ac:dyDescent="0.25">
      <c r="A368" s="3" t="s">
        <v>95</v>
      </c>
      <c r="B368" s="3" t="s">
        <v>271</v>
      </c>
      <c r="C368" s="3" t="s">
        <v>35</v>
      </c>
      <c r="D368" s="3" t="s">
        <v>36</v>
      </c>
      <c r="E368" s="3" t="s">
        <v>125</v>
      </c>
      <c r="F368" s="3" t="s">
        <v>96</v>
      </c>
      <c r="G368" s="3" t="s">
        <v>273</v>
      </c>
      <c r="H368" s="3" t="s">
        <v>126</v>
      </c>
      <c r="I368" s="4">
        <v>4</v>
      </c>
    </row>
    <row r="369" spans="1:9" x14ac:dyDescent="0.25">
      <c r="A369" s="3" t="s">
        <v>95</v>
      </c>
      <c r="B369" s="3" t="s">
        <v>272</v>
      </c>
      <c r="C369" s="3" t="s">
        <v>35</v>
      </c>
      <c r="D369" s="3" t="s">
        <v>36</v>
      </c>
      <c r="E369" s="3" t="s">
        <v>43</v>
      </c>
      <c r="F369" s="3" t="s">
        <v>96</v>
      </c>
      <c r="G369" s="3" t="s">
        <v>273</v>
      </c>
      <c r="H369" s="3" t="s">
        <v>45</v>
      </c>
      <c r="I369" s="4">
        <v>4</v>
      </c>
    </row>
    <row r="370" spans="1:9" x14ac:dyDescent="0.25">
      <c r="A370" s="3" t="s">
        <v>95</v>
      </c>
      <c r="B370" s="3" t="s">
        <v>263</v>
      </c>
      <c r="C370" s="3" t="s">
        <v>35</v>
      </c>
      <c r="D370" s="3" t="s">
        <v>36</v>
      </c>
      <c r="E370" s="3" t="s">
        <v>85</v>
      </c>
      <c r="F370" s="3" t="s">
        <v>96</v>
      </c>
      <c r="G370" s="3" t="s">
        <v>263</v>
      </c>
      <c r="H370" s="3" t="s">
        <v>87</v>
      </c>
      <c r="I370" s="4">
        <v>3</v>
      </c>
    </row>
    <row r="371" spans="1:9" x14ac:dyDescent="0.25">
      <c r="A371" s="3" t="s">
        <v>95</v>
      </c>
      <c r="B371" s="3" t="s">
        <v>7</v>
      </c>
      <c r="C371" s="3" t="s">
        <v>35</v>
      </c>
      <c r="D371" s="3" t="s">
        <v>36</v>
      </c>
      <c r="E371" s="3" t="s">
        <v>81</v>
      </c>
      <c r="F371" s="3" t="s">
        <v>96</v>
      </c>
      <c r="G371" s="3" t="s">
        <v>7</v>
      </c>
      <c r="H371" s="3" t="s">
        <v>83</v>
      </c>
      <c r="I371" s="4">
        <v>2</v>
      </c>
    </row>
    <row r="372" spans="1:9" x14ac:dyDescent="0.25">
      <c r="A372" s="3" t="s">
        <v>95</v>
      </c>
      <c r="B372" s="3" t="s">
        <v>7</v>
      </c>
      <c r="C372" s="3" t="s">
        <v>35</v>
      </c>
      <c r="D372" s="3" t="s">
        <v>36</v>
      </c>
      <c r="E372" s="3" t="s">
        <v>78</v>
      </c>
      <c r="F372" s="3" t="s">
        <v>96</v>
      </c>
      <c r="G372" s="3" t="s">
        <v>7</v>
      </c>
      <c r="H372" s="3" t="s">
        <v>79</v>
      </c>
      <c r="I372" s="4">
        <v>2</v>
      </c>
    </row>
    <row r="373" spans="1:9" x14ac:dyDescent="0.25">
      <c r="A373" s="3" t="s">
        <v>95</v>
      </c>
      <c r="B373" s="3" t="s">
        <v>4</v>
      </c>
      <c r="C373" s="3" t="s">
        <v>35</v>
      </c>
      <c r="D373" s="3" t="s">
        <v>36</v>
      </c>
      <c r="E373" s="3" t="s">
        <v>72</v>
      </c>
      <c r="F373" s="3" t="s">
        <v>96</v>
      </c>
      <c r="G373" s="3" t="s">
        <v>4</v>
      </c>
      <c r="H373" s="3" t="s">
        <v>73</v>
      </c>
      <c r="I373" s="4">
        <v>1</v>
      </c>
    </row>
    <row r="374" spans="1:9" x14ac:dyDescent="0.25">
      <c r="A374" s="3" t="s">
        <v>95</v>
      </c>
      <c r="B374" s="3" t="s">
        <v>4</v>
      </c>
      <c r="C374" s="3" t="s">
        <v>35</v>
      </c>
      <c r="D374" s="3" t="s">
        <v>36</v>
      </c>
      <c r="E374" s="3" t="s">
        <v>114</v>
      </c>
      <c r="F374" s="3" t="s">
        <v>96</v>
      </c>
      <c r="G374" s="3" t="s">
        <v>4</v>
      </c>
      <c r="H374" s="3" t="s">
        <v>116</v>
      </c>
      <c r="I374" s="4">
        <v>1</v>
      </c>
    </row>
    <row r="375" spans="1:9" x14ac:dyDescent="0.25">
      <c r="A375" s="3" t="s">
        <v>95</v>
      </c>
      <c r="B375" s="3" t="s">
        <v>4</v>
      </c>
      <c r="C375" s="3" t="s">
        <v>35</v>
      </c>
      <c r="D375" s="3" t="s">
        <v>36</v>
      </c>
      <c r="E375" s="3" t="s">
        <v>109</v>
      </c>
      <c r="F375" s="3" t="s">
        <v>96</v>
      </c>
      <c r="G375" s="3" t="s">
        <v>4</v>
      </c>
      <c r="H375" s="3" t="s">
        <v>110</v>
      </c>
      <c r="I375" s="4">
        <v>1</v>
      </c>
    </row>
    <row r="376" spans="1:9" x14ac:dyDescent="0.25">
      <c r="A376" s="3" t="s">
        <v>173</v>
      </c>
      <c r="B376" s="3" t="s">
        <v>263</v>
      </c>
      <c r="C376" s="3" t="s">
        <v>145</v>
      </c>
      <c r="D376" s="3" t="s">
        <v>146</v>
      </c>
      <c r="E376" s="3" t="s">
        <v>78</v>
      </c>
      <c r="F376" s="3" t="s">
        <v>174</v>
      </c>
      <c r="G376" s="3" t="s">
        <v>263</v>
      </c>
      <c r="H376" s="3" t="s">
        <v>79</v>
      </c>
      <c r="I376" s="4">
        <v>3</v>
      </c>
    </row>
    <row r="377" spans="1:9" x14ac:dyDescent="0.25">
      <c r="A377" s="3" t="s">
        <v>173</v>
      </c>
      <c r="B377" s="3" t="s">
        <v>7</v>
      </c>
      <c r="C377" s="3" t="s">
        <v>145</v>
      </c>
      <c r="D377" s="3" t="s">
        <v>146</v>
      </c>
      <c r="E377" s="3" t="s">
        <v>72</v>
      </c>
      <c r="F377" s="3" t="s">
        <v>174</v>
      </c>
      <c r="G377" s="3" t="s">
        <v>7</v>
      </c>
      <c r="H377" s="3" t="s">
        <v>73</v>
      </c>
      <c r="I377" s="4">
        <v>2</v>
      </c>
    </row>
    <row r="378" spans="1:9" x14ac:dyDescent="0.25">
      <c r="A378" s="3" t="s">
        <v>173</v>
      </c>
      <c r="B378" s="3" t="s">
        <v>7</v>
      </c>
      <c r="C378" s="3" t="s">
        <v>145</v>
      </c>
      <c r="D378" s="3" t="s">
        <v>146</v>
      </c>
      <c r="E378" s="3" t="s">
        <v>109</v>
      </c>
      <c r="F378" s="3" t="s">
        <v>174</v>
      </c>
      <c r="G378" s="3" t="s">
        <v>7</v>
      </c>
      <c r="H378" s="3" t="s">
        <v>110</v>
      </c>
      <c r="I378" s="4">
        <v>2</v>
      </c>
    </row>
    <row r="379" spans="1:9" x14ac:dyDescent="0.25">
      <c r="A379" s="3" t="s">
        <v>173</v>
      </c>
      <c r="B379" s="3" t="s">
        <v>7</v>
      </c>
      <c r="C379" s="3" t="s">
        <v>145</v>
      </c>
      <c r="D379" s="3" t="s">
        <v>146</v>
      </c>
      <c r="E379" s="3" t="s">
        <v>75</v>
      </c>
      <c r="F379" s="3" t="s">
        <v>174</v>
      </c>
      <c r="G379" s="3" t="s">
        <v>7</v>
      </c>
      <c r="H379" s="3" t="s">
        <v>77</v>
      </c>
      <c r="I379" s="4">
        <v>2</v>
      </c>
    </row>
    <row r="380" spans="1:9" x14ac:dyDescent="0.25">
      <c r="A380" s="3" t="s">
        <v>173</v>
      </c>
      <c r="B380" s="3" t="s">
        <v>4</v>
      </c>
      <c r="C380" s="3" t="s">
        <v>145</v>
      </c>
      <c r="D380" s="3" t="s">
        <v>146</v>
      </c>
      <c r="E380" s="3" t="s">
        <v>119</v>
      </c>
      <c r="F380" s="3" t="s">
        <v>174</v>
      </c>
      <c r="G380" s="3" t="s">
        <v>4</v>
      </c>
      <c r="H380" s="3" t="s">
        <v>120</v>
      </c>
      <c r="I380" s="4">
        <v>1</v>
      </c>
    </row>
    <row r="381" spans="1:9" x14ac:dyDescent="0.25">
      <c r="A381" s="3" t="s">
        <v>173</v>
      </c>
      <c r="B381" s="3" t="s">
        <v>4</v>
      </c>
      <c r="C381" s="3" t="s">
        <v>145</v>
      </c>
      <c r="D381" s="3" t="s">
        <v>146</v>
      </c>
      <c r="E381" s="3" t="s">
        <v>266</v>
      </c>
      <c r="F381" s="3" t="s">
        <v>174</v>
      </c>
      <c r="G381" s="3" t="s">
        <v>4</v>
      </c>
      <c r="H381" s="3" t="s">
        <v>267</v>
      </c>
      <c r="I381" s="4">
        <v>1</v>
      </c>
    </row>
    <row r="382" spans="1:9" x14ac:dyDescent="0.25">
      <c r="A382" s="3" t="s">
        <v>173</v>
      </c>
      <c r="B382" s="3" t="s">
        <v>4</v>
      </c>
      <c r="C382" s="3" t="s">
        <v>145</v>
      </c>
      <c r="D382" s="3" t="s">
        <v>146</v>
      </c>
      <c r="E382" s="3" t="s">
        <v>125</v>
      </c>
      <c r="F382" s="3" t="s">
        <v>174</v>
      </c>
      <c r="G382" s="3" t="s">
        <v>4</v>
      </c>
      <c r="H382" s="3" t="s">
        <v>126</v>
      </c>
      <c r="I382" s="4">
        <v>1</v>
      </c>
    </row>
    <row r="383" spans="1:9" x14ac:dyDescent="0.25">
      <c r="A383" s="3" t="s">
        <v>173</v>
      </c>
      <c r="B383" s="3" t="s">
        <v>4</v>
      </c>
      <c r="C383" s="3" t="s">
        <v>145</v>
      </c>
      <c r="D383" s="3" t="s">
        <v>146</v>
      </c>
      <c r="E383" s="3" t="s">
        <v>37</v>
      </c>
      <c r="F383" s="3" t="s">
        <v>174</v>
      </c>
      <c r="G383" s="3" t="s">
        <v>4</v>
      </c>
      <c r="H383" s="3" t="s">
        <v>39</v>
      </c>
      <c r="I383" s="4">
        <v>1</v>
      </c>
    </row>
    <row r="384" spans="1:9" x14ac:dyDescent="0.25">
      <c r="A384" s="3" t="s">
        <v>249</v>
      </c>
      <c r="B384" s="3" t="s">
        <v>4</v>
      </c>
      <c r="C384" s="3" t="s">
        <v>191</v>
      </c>
      <c r="D384" s="3" t="s">
        <v>153</v>
      </c>
      <c r="E384" s="3" t="s">
        <v>85</v>
      </c>
      <c r="F384" s="3" t="s">
        <v>250</v>
      </c>
      <c r="G384" s="3" t="s">
        <v>4</v>
      </c>
      <c r="H384" s="3" t="s">
        <v>87</v>
      </c>
      <c r="I384" s="4">
        <v>1</v>
      </c>
    </row>
    <row r="385" spans="1:9" x14ac:dyDescent="0.25">
      <c r="A385" s="3" t="s">
        <v>121</v>
      </c>
      <c r="B385" s="3" t="s">
        <v>263</v>
      </c>
      <c r="C385" s="3" t="s">
        <v>35</v>
      </c>
      <c r="D385" s="3" t="s">
        <v>36</v>
      </c>
      <c r="E385" s="3" t="s">
        <v>98</v>
      </c>
      <c r="F385" s="3" t="s">
        <v>122</v>
      </c>
      <c r="G385" s="3" t="s">
        <v>263</v>
      </c>
      <c r="H385" s="3" t="s">
        <v>100</v>
      </c>
      <c r="I385" s="4">
        <v>3</v>
      </c>
    </row>
    <row r="386" spans="1:9" x14ac:dyDescent="0.25">
      <c r="A386" s="3" t="s">
        <v>121</v>
      </c>
      <c r="B386" s="3" t="s">
        <v>7</v>
      </c>
      <c r="C386" s="3" t="s">
        <v>35</v>
      </c>
      <c r="D386" s="3" t="s">
        <v>36</v>
      </c>
      <c r="E386" s="3" t="s">
        <v>107</v>
      </c>
      <c r="F386" s="3" t="s">
        <v>122</v>
      </c>
      <c r="G386" s="3" t="s">
        <v>7</v>
      </c>
      <c r="H386" s="3" t="s">
        <v>108</v>
      </c>
      <c r="I386" s="4">
        <v>2</v>
      </c>
    </row>
    <row r="387" spans="1:9" x14ac:dyDescent="0.25">
      <c r="A387" s="3" t="s">
        <v>121</v>
      </c>
      <c r="B387" s="3" t="s">
        <v>7</v>
      </c>
      <c r="C387" s="3" t="s">
        <v>35</v>
      </c>
      <c r="D387" s="3" t="s">
        <v>36</v>
      </c>
      <c r="E387" s="3" t="s">
        <v>75</v>
      </c>
      <c r="F387" s="3" t="s">
        <v>122</v>
      </c>
      <c r="G387" s="3" t="s">
        <v>7</v>
      </c>
      <c r="H387" s="3" t="s">
        <v>77</v>
      </c>
      <c r="I387" s="4">
        <v>2</v>
      </c>
    </row>
    <row r="388" spans="1:9" x14ac:dyDescent="0.25">
      <c r="A388" s="3" t="s">
        <v>121</v>
      </c>
      <c r="B388" s="3" t="s">
        <v>7</v>
      </c>
      <c r="C388" s="3" t="s">
        <v>35</v>
      </c>
      <c r="D388" s="3" t="s">
        <v>36</v>
      </c>
      <c r="E388" s="3" t="s">
        <v>143</v>
      </c>
      <c r="F388" s="3" t="s">
        <v>122</v>
      </c>
      <c r="G388" s="3" t="s">
        <v>7</v>
      </c>
      <c r="H388" s="3" t="s">
        <v>144</v>
      </c>
      <c r="I388" s="4">
        <v>2</v>
      </c>
    </row>
    <row r="389" spans="1:9" x14ac:dyDescent="0.25">
      <c r="A389" s="3" t="s">
        <v>121</v>
      </c>
      <c r="B389" s="3" t="s">
        <v>7</v>
      </c>
      <c r="C389" s="3" t="s">
        <v>35</v>
      </c>
      <c r="D389" s="3" t="s">
        <v>36</v>
      </c>
      <c r="E389" s="3" t="s">
        <v>141</v>
      </c>
      <c r="F389" s="3" t="s">
        <v>122</v>
      </c>
      <c r="G389" s="3" t="s">
        <v>7</v>
      </c>
      <c r="H389" s="3" t="s">
        <v>142</v>
      </c>
      <c r="I389" s="4">
        <v>2</v>
      </c>
    </row>
    <row r="390" spans="1:9" x14ac:dyDescent="0.25">
      <c r="A390" s="3" t="s">
        <v>121</v>
      </c>
      <c r="B390" s="3" t="s">
        <v>4</v>
      </c>
      <c r="C390" s="3" t="s">
        <v>35</v>
      </c>
      <c r="D390" s="3" t="s">
        <v>36</v>
      </c>
      <c r="E390" s="3" t="s">
        <v>119</v>
      </c>
      <c r="F390" s="3" t="s">
        <v>122</v>
      </c>
      <c r="G390" s="3" t="s">
        <v>4</v>
      </c>
      <c r="H390" s="3" t="s">
        <v>120</v>
      </c>
      <c r="I390" s="4">
        <v>1</v>
      </c>
    </row>
    <row r="391" spans="1:9" x14ac:dyDescent="0.25">
      <c r="A391" s="3" t="s">
        <v>121</v>
      </c>
      <c r="B391" s="3" t="s">
        <v>4</v>
      </c>
      <c r="C391" s="3" t="s">
        <v>35</v>
      </c>
      <c r="D391" s="3" t="s">
        <v>36</v>
      </c>
      <c r="E391" s="3" t="s">
        <v>47</v>
      </c>
      <c r="F391" s="3" t="s">
        <v>122</v>
      </c>
      <c r="G391" s="3" t="s">
        <v>4</v>
      </c>
      <c r="H391" s="3" t="s">
        <v>49</v>
      </c>
      <c r="I391" s="4">
        <v>1</v>
      </c>
    </row>
    <row r="392" spans="1:9" x14ac:dyDescent="0.25">
      <c r="A392" s="3" t="s">
        <v>204</v>
      </c>
      <c r="B392" s="3" t="s">
        <v>263</v>
      </c>
      <c r="C392" s="3" t="s">
        <v>149</v>
      </c>
      <c r="D392" s="3" t="s">
        <v>36</v>
      </c>
      <c r="E392" s="3" t="s">
        <v>81</v>
      </c>
      <c r="F392" s="3" t="s">
        <v>205</v>
      </c>
      <c r="G392" s="3" t="s">
        <v>263</v>
      </c>
      <c r="H392" s="3" t="s">
        <v>83</v>
      </c>
      <c r="I392" s="4">
        <v>3</v>
      </c>
    </row>
    <row r="393" spans="1:9" x14ac:dyDescent="0.25">
      <c r="A393" s="3" t="s">
        <v>204</v>
      </c>
      <c r="B393" s="3" t="s">
        <v>4</v>
      </c>
      <c r="C393" s="3" t="s">
        <v>149</v>
      </c>
      <c r="D393" s="3" t="s">
        <v>36</v>
      </c>
      <c r="E393" s="3" t="s">
        <v>114</v>
      </c>
      <c r="F393" s="3" t="s">
        <v>205</v>
      </c>
      <c r="G393" s="3" t="s">
        <v>4</v>
      </c>
      <c r="H393" s="3" t="s">
        <v>116</v>
      </c>
      <c r="I393" s="4">
        <v>1</v>
      </c>
    </row>
    <row r="394" spans="1:9" x14ac:dyDescent="0.25">
      <c r="A394" s="3" t="s">
        <v>204</v>
      </c>
      <c r="B394" s="3" t="s">
        <v>4</v>
      </c>
      <c r="C394" s="3" t="s">
        <v>149</v>
      </c>
      <c r="D394" s="3" t="s">
        <v>36</v>
      </c>
      <c r="E394" s="3" t="s">
        <v>98</v>
      </c>
      <c r="F394" s="3" t="s">
        <v>205</v>
      </c>
      <c r="G394" s="3" t="s">
        <v>4</v>
      </c>
      <c r="H394" s="3" t="s">
        <v>100</v>
      </c>
      <c r="I394" s="4">
        <v>1</v>
      </c>
    </row>
    <row r="395" spans="1:9" x14ac:dyDescent="0.25">
      <c r="A395" s="3" t="s">
        <v>204</v>
      </c>
      <c r="B395" s="3" t="s">
        <v>4</v>
      </c>
      <c r="C395" s="3" t="s">
        <v>149</v>
      </c>
      <c r="D395" s="3" t="s">
        <v>36</v>
      </c>
      <c r="E395" s="3" t="s">
        <v>109</v>
      </c>
      <c r="F395" s="3" t="s">
        <v>205</v>
      </c>
      <c r="G395" s="3" t="s">
        <v>4</v>
      </c>
      <c r="H395" s="3" t="s">
        <v>110</v>
      </c>
      <c r="I395" s="4">
        <v>1</v>
      </c>
    </row>
    <row r="396" spans="1:9" x14ac:dyDescent="0.25">
      <c r="A396" s="3" t="s">
        <v>190</v>
      </c>
      <c r="B396" s="3" t="s">
        <v>7</v>
      </c>
      <c r="C396" s="3" t="s">
        <v>191</v>
      </c>
      <c r="D396" s="3" t="s">
        <v>153</v>
      </c>
      <c r="E396" s="3" t="s">
        <v>98</v>
      </c>
      <c r="F396" s="3" t="s">
        <v>192</v>
      </c>
      <c r="G396" s="3" t="s">
        <v>7</v>
      </c>
      <c r="H396" s="3" t="s">
        <v>100</v>
      </c>
      <c r="I396" s="4">
        <v>2</v>
      </c>
    </row>
    <row r="397" spans="1:9" x14ac:dyDescent="0.25">
      <c r="A397" s="3" t="s">
        <v>190</v>
      </c>
      <c r="B397" s="3" t="s">
        <v>4</v>
      </c>
      <c r="C397" s="3" t="s">
        <v>191</v>
      </c>
      <c r="D397" s="3" t="s">
        <v>153</v>
      </c>
      <c r="E397" s="3" t="s">
        <v>85</v>
      </c>
      <c r="F397" s="3" t="s">
        <v>192</v>
      </c>
      <c r="G397" s="3" t="s">
        <v>4</v>
      </c>
      <c r="H397" s="3" t="s">
        <v>87</v>
      </c>
      <c r="I397" s="4">
        <v>1</v>
      </c>
    </row>
    <row r="398" spans="1:9" x14ac:dyDescent="0.25">
      <c r="A398" s="3" t="s">
        <v>190</v>
      </c>
      <c r="B398" s="3" t="s">
        <v>4</v>
      </c>
      <c r="C398" s="3" t="s">
        <v>191</v>
      </c>
      <c r="D398" s="3" t="s">
        <v>153</v>
      </c>
      <c r="E398" s="3" t="s">
        <v>75</v>
      </c>
      <c r="F398" s="3" t="s">
        <v>192</v>
      </c>
      <c r="G398" s="3" t="s">
        <v>4</v>
      </c>
      <c r="H398" s="3" t="s">
        <v>77</v>
      </c>
      <c r="I398" s="4">
        <v>1</v>
      </c>
    </row>
    <row r="399" spans="1:9" x14ac:dyDescent="0.25">
      <c r="A399" s="3" t="s">
        <v>190</v>
      </c>
      <c r="B399" s="3" t="s">
        <v>4</v>
      </c>
      <c r="C399" s="3" t="s">
        <v>191</v>
      </c>
      <c r="D399" s="3" t="s">
        <v>153</v>
      </c>
      <c r="E399" s="3" t="s">
        <v>109</v>
      </c>
      <c r="F399" s="3" t="s">
        <v>192</v>
      </c>
      <c r="G399" s="3" t="s">
        <v>4</v>
      </c>
      <c r="H399" s="3" t="s">
        <v>110</v>
      </c>
      <c r="I399" s="4">
        <v>1</v>
      </c>
    </row>
    <row r="400" spans="1:9" x14ac:dyDescent="0.25">
      <c r="A400" s="3" t="s">
        <v>190</v>
      </c>
      <c r="B400" s="3" t="s">
        <v>4</v>
      </c>
      <c r="C400" s="3" t="s">
        <v>191</v>
      </c>
      <c r="D400" s="3" t="s">
        <v>153</v>
      </c>
      <c r="E400" s="3" t="s">
        <v>125</v>
      </c>
      <c r="F400" s="3" t="s">
        <v>192</v>
      </c>
      <c r="G400" s="3" t="s">
        <v>4</v>
      </c>
      <c r="H400" s="3" t="s">
        <v>126</v>
      </c>
      <c r="I400" s="4">
        <v>1</v>
      </c>
    </row>
    <row r="401" spans="1:9" x14ac:dyDescent="0.25">
      <c r="A401" s="3" t="s">
        <v>190</v>
      </c>
      <c r="B401" s="3" t="s">
        <v>4</v>
      </c>
      <c r="C401" s="3" t="s">
        <v>191</v>
      </c>
      <c r="D401" s="3" t="s">
        <v>153</v>
      </c>
      <c r="E401" s="3" t="s">
        <v>81</v>
      </c>
      <c r="F401" s="3" t="s">
        <v>192</v>
      </c>
      <c r="G401" s="3" t="s">
        <v>4</v>
      </c>
      <c r="H401" s="3" t="s">
        <v>83</v>
      </c>
      <c r="I401" s="4">
        <v>1</v>
      </c>
    </row>
    <row r="402" spans="1:9" x14ac:dyDescent="0.25">
      <c r="A402" s="3" t="s">
        <v>127</v>
      </c>
      <c r="B402" s="3" t="s">
        <v>4</v>
      </c>
      <c r="C402" s="3" t="s">
        <v>35</v>
      </c>
      <c r="D402" s="3" t="s">
        <v>36</v>
      </c>
      <c r="E402" s="3" t="s">
        <v>125</v>
      </c>
      <c r="F402" s="3" t="s">
        <v>128</v>
      </c>
      <c r="G402" s="3" t="s">
        <v>4</v>
      </c>
      <c r="H402" s="3" t="s">
        <v>126</v>
      </c>
      <c r="I402" s="4">
        <v>1</v>
      </c>
    </row>
    <row r="403" spans="1:9" x14ac:dyDescent="0.25">
      <c r="A403" s="3" t="s">
        <v>34</v>
      </c>
      <c r="B403" s="3" t="s">
        <v>4</v>
      </c>
      <c r="C403" s="3" t="s">
        <v>35</v>
      </c>
      <c r="D403" s="3" t="s">
        <v>36</v>
      </c>
      <c r="E403" s="3" t="s">
        <v>37</v>
      </c>
      <c r="F403" s="3" t="s">
        <v>38</v>
      </c>
      <c r="G403" s="3" t="s">
        <v>4</v>
      </c>
      <c r="H403" s="3" t="s">
        <v>39</v>
      </c>
      <c r="I403" s="4">
        <v>1</v>
      </c>
    </row>
    <row r="404" spans="1:9" x14ac:dyDescent="0.25">
      <c r="A404" s="3" t="s">
        <v>34</v>
      </c>
      <c r="B404" s="3" t="s">
        <v>4</v>
      </c>
      <c r="C404" s="3" t="s">
        <v>35</v>
      </c>
      <c r="D404" s="3" t="s">
        <v>36</v>
      </c>
      <c r="E404" s="3" t="s">
        <v>53</v>
      </c>
      <c r="F404" s="3" t="s">
        <v>38</v>
      </c>
      <c r="G404" s="3" t="s">
        <v>4</v>
      </c>
      <c r="H404" s="3" t="s">
        <v>55</v>
      </c>
      <c r="I404" s="4">
        <v>1</v>
      </c>
    </row>
    <row r="405" spans="1:9" x14ac:dyDescent="0.25">
      <c r="A405" s="3" t="s">
        <v>34</v>
      </c>
      <c r="B405" s="3" t="s">
        <v>4</v>
      </c>
      <c r="C405" s="3" t="s">
        <v>35</v>
      </c>
      <c r="D405" s="3" t="s">
        <v>36</v>
      </c>
      <c r="E405" s="3" t="s">
        <v>60</v>
      </c>
      <c r="F405" s="3" t="s">
        <v>38</v>
      </c>
      <c r="G405" s="3" t="s">
        <v>4</v>
      </c>
      <c r="H405" s="3" t="s">
        <v>61</v>
      </c>
      <c r="I405" s="4">
        <v>1</v>
      </c>
    </row>
    <row r="406" spans="1:9" x14ac:dyDescent="0.25">
      <c r="A406" s="3" t="s">
        <v>34</v>
      </c>
      <c r="B406" s="3" t="s">
        <v>4</v>
      </c>
      <c r="C406" s="3" t="s">
        <v>35</v>
      </c>
      <c r="D406" s="3" t="s">
        <v>36</v>
      </c>
      <c r="E406" s="3" t="s">
        <v>75</v>
      </c>
      <c r="F406" s="3" t="s">
        <v>38</v>
      </c>
      <c r="G406" s="3" t="s">
        <v>4</v>
      </c>
      <c r="H406" s="3" t="s">
        <v>77</v>
      </c>
      <c r="I406" s="4">
        <v>1</v>
      </c>
    </row>
    <row r="407" spans="1:9" x14ac:dyDescent="0.25">
      <c r="A407" s="3" t="s">
        <v>34</v>
      </c>
      <c r="B407" s="3" t="s">
        <v>4</v>
      </c>
      <c r="C407" s="3" t="s">
        <v>35</v>
      </c>
      <c r="D407" s="3" t="s">
        <v>36</v>
      </c>
      <c r="E407" s="3" t="s">
        <v>63</v>
      </c>
      <c r="F407" s="3" t="s">
        <v>38</v>
      </c>
      <c r="G407" s="3" t="s">
        <v>4</v>
      </c>
      <c r="H407" s="3" t="s">
        <v>65</v>
      </c>
      <c r="I407" s="4">
        <v>1</v>
      </c>
    </row>
    <row r="408" spans="1:9" x14ac:dyDescent="0.25">
      <c r="A408" s="3" t="s">
        <v>34</v>
      </c>
      <c r="B408" s="3" t="s">
        <v>4</v>
      </c>
      <c r="C408" s="3" t="s">
        <v>35</v>
      </c>
      <c r="D408" s="3" t="s">
        <v>36</v>
      </c>
      <c r="E408" s="3" t="s">
        <v>72</v>
      </c>
      <c r="F408" s="3" t="s">
        <v>38</v>
      </c>
      <c r="G408" s="3" t="s">
        <v>4</v>
      </c>
      <c r="H408" s="3" t="s">
        <v>73</v>
      </c>
      <c r="I408" s="4">
        <v>1</v>
      </c>
    </row>
    <row r="409" spans="1:9" x14ac:dyDescent="0.25">
      <c r="A409" s="3" t="s">
        <v>34</v>
      </c>
      <c r="B409" s="3" t="s">
        <v>4</v>
      </c>
      <c r="C409" s="3" t="s">
        <v>35</v>
      </c>
      <c r="D409" s="3" t="s">
        <v>36</v>
      </c>
      <c r="E409" s="3" t="s">
        <v>268</v>
      </c>
      <c r="F409" s="3" t="s">
        <v>38</v>
      </c>
      <c r="G409" s="3" t="s">
        <v>4</v>
      </c>
      <c r="H409" s="3" t="s">
        <v>269</v>
      </c>
      <c r="I409" s="4">
        <v>1</v>
      </c>
    </row>
    <row r="410" spans="1:9" x14ac:dyDescent="0.25">
      <c r="A410" s="3" t="s">
        <v>34</v>
      </c>
      <c r="B410" s="3" t="s">
        <v>4</v>
      </c>
      <c r="C410" s="3" t="s">
        <v>35</v>
      </c>
      <c r="D410" s="3" t="s">
        <v>36</v>
      </c>
      <c r="E410" s="3" t="s">
        <v>107</v>
      </c>
      <c r="F410" s="3" t="s">
        <v>38</v>
      </c>
      <c r="G410" s="3" t="s">
        <v>4</v>
      </c>
      <c r="H410" s="3" t="s">
        <v>108</v>
      </c>
      <c r="I410" s="4">
        <v>1</v>
      </c>
    </row>
    <row r="411" spans="1:9" x14ac:dyDescent="0.25">
      <c r="A411" s="3" t="s">
        <v>179</v>
      </c>
      <c r="B411" s="3" t="s">
        <v>263</v>
      </c>
      <c r="C411" s="3" t="s">
        <v>162</v>
      </c>
      <c r="D411" s="3" t="s">
        <v>163</v>
      </c>
      <c r="E411" s="3" t="s">
        <v>109</v>
      </c>
      <c r="F411" s="3" t="s">
        <v>180</v>
      </c>
      <c r="G411" s="3" t="s">
        <v>263</v>
      </c>
      <c r="H411" s="3" t="s">
        <v>110</v>
      </c>
      <c r="I411" s="4">
        <v>3</v>
      </c>
    </row>
    <row r="412" spans="1:9" x14ac:dyDescent="0.25">
      <c r="A412" s="3" t="s">
        <v>179</v>
      </c>
      <c r="B412" s="3" t="s">
        <v>7</v>
      </c>
      <c r="C412" s="3" t="s">
        <v>162</v>
      </c>
      <c r="D412" s="3" t="s">
        <v>163</v>
      </c>
      <c r="E412" s="3" t="s">
        <v>85</v>
      </c>
      <c r="F412" s="3" t="s">
        <v>180</v>
      </c>
      <c r="G412" s="3" t="s">
        <v>7</v>
      </c>
      <c r="H412" s="3" t="s">
        <v>87</v>
      </c>
      <c r="I412" s="4">
        <v>2</v>
      </c>
    </row>
    <row r="413" spans="1:9" x14ac:dyDescent="0.25">
      <c r="A413" s="3" t="s">
        <v>179</v>
      </c>
      <c r="B413" s="3" t="s">
        <v>4</v>
      </c>
      <c r="C413" s="3" t="s">
        <v>162</v>
      </c>
      <c r="D413" s="3" t="s">
        <v>163</v>
      </c>
      <c r="E413" s="3" t="s">
        <v>81</v>
      </c>
      <c r="F413" s="3" t="s">
        <v>180</v>
      </c>
      <c r="G413" s="3" t="s">
        <v>4</v>
      </c>
      <c r="H413" s="3" t="s">
        <v>83</v>
      </c>
      <c r="I413" s="4">
        <v>1</v>
      </c>
    </row>
    <row r="414" spans="1:9" x14ac:dyDescent="0.25">
      <c r="A414" s="3" t="s">
        <v>233</v>
      </c>
      <c r="B414" s="3" t="s">
        <v>4</v>
      </c>
      <c r="C414" s="3" t="s">
        <v>188</v>
      </c>
      <c r="D414" s="3" t="s">
        <v>171</v>
      </c>
      <c r="E414" s="3" t="s">
        <v>63</v>
      </c>
      <c r="F414" s="3" t="s">
        <v>234</v>
      </c>
      <c r="G414" s="3" t="s">
        <v>4</v>
      </c>
      <c r="H414" s="3" t="s">
        <v>65</v>
      </c>
      <c r="I414" s="4">
        <v>1</v>
      </c>
    </row>
    <row r="415" spans="1:9" x14ac:dyDescent="0.25">
      <c r="A415" s="3" t="s">
        <v>233</v>
      </c>
      <c r="B415" s="3" t="s">
        <v>4</v>
      </c>
      <c r="C415" s="3" t="s">
        <v>188</v>
      </c>
      <c r="D415" s="3" t="s">
        <v>171</v>
      </c>
      <c r="E415" s="3" t="s">
        <v>47</v>
      </c>
      <c r="F415" s="3" t="s">
        <v>234</v>
      </c>
      <c r="G415" s="3" t="s">
        <v>4</v>
      </c>
      <c r="H415" s="3" t="s">
        <v>49</v>
      </c>
      <c r="I415" s="4">
        <v>1</v>
      </c>
    </row>
    <row r="416" spans="1:9" x14ac:dyDescent="0.25">
      <c r="A416" s="3" t="s">
        <v>105</v>
      </c>
      <c r="B416" s="3" t="s">
        <v>4</v>
      </c>
      <c r="C416" s="3" t="s">
        <v>35</v>
      </c>
      <c r="D416" s="3" t="s">
        <v>36</v>
      </c>
      <c r="E416" s="3" t="s">
        <v>78</v>
      </c>
      <c r="F416" s="3" t="s">
        <v>106</v>
      </c>
      <c r="G416" s="3" t="s">
        <v>4</v>
      </c>
      <c r="H416" s="3" t="s">
        <v>79</v>
      </c>
      <c r="I416" s="4">
        <v>1</v>
      </c>
    </row>
    <row r="417" spans="1:9" x14ac:dyDescent="0.25">
      <c r="A417" s="3" t="s">
        <v>105</v>
      </c>
      <c r="B417" s="3" t="s">
        <v>4</v>
      </c>
      <c r="C417" s="3" t="s">
        <v>35</v>
      </c>
      <c r="D417" s="3" t="s">
        <v>36</v>
      </c>
      <c r="E417" s="3" t="s">
        <v>81</v>
      </c>
      <c r="F417" s="3" t="s">
        <v>106</v>
      </c>
      <c r="G417" s="3" t="s">
        <v>4</v>
      </c>
      <c r="H417" s="3" t="s">
        <v>83</v>
      </c>
      <c r="I417" s="4">
        <v>1</v>
      </c>
    </row>
    <row r="418" spans="1:9" x14ac:dyDescent="0.25">
      <c r="A418" s="3" t="s">
        <v>105</v>
      </c>
      <c r="B418" s="3" t="s">
        <v>4</v>
      </c>
      <c r="C418" s="3" t="s">
        <v>35</v>
      </c>
      <c r="D418" s="3" t="s">
        <v>36</v>
      </c>
      <c r="E418" s="3" t="s">
        <v>85</v>
      </c>
      <c r="F418" s="3" t="s">
        <v>106</v>
      </c>
      <c r="G418" s="3" t="s">
        <v>4</v>
      </c>
      <c r="H418" s="3" t="s">
        <v>87</v>
      </c>
      <c r="I418" s="4">
        <v>1</v>
      </c>
    </row>
    <row r="419" spans="1:9" x14ac:dyDescent="0.25">
      <c r="A419" s="3" t="s">
        <v>155</v>
      </c>
      <c r="B419" s="3" t="s">
        <v>271</v>
      </c>
      <c r="C419" s="3" t="s">
        <v>149</v>
      </c>
      <c r="D419" s="3" t="s">
        <v>36</v>
      </c>
      <c r="E419" s="3" t="s">
        <v>43</v>
      </c>
      <c r="F419" s="3" t="s">
        <v>156</v>
      </c>
      <c r="G419" s="3" t="s">
        <v>273</v>
      </c>
      <c r="H419" s="3" t="s">
        <v>45</v>
      </c>
      <c r="I419" s="4">
        <v>4</v>
      </c>
    </row>
    <row r="420" spans="1:9" x14ac:dyDescent="0.25">
      <c r="A420" s="3" t="s">
        <v>155</v>
      </c>
      <c r="B420" s="3" t="s">
        <v>263</v>
      </c>
      <c r="C420" s="3" t="s">
        <v>149</v>
      </c>
      <c r="D420" s="3" t="s">
        <v>36</v>
      </c>
      <c r="E420" s="3" t="s">
        <v>37</v>
      </c>
      <c r="F420" s="3" t="s">
        <v>156</v>
      </c>
      <c r="G420" s="3" t="s">
        <v>263</v>
      </c>
      <c r="H420" s="3" t="s">
        <v>39</v>
      </c>
      <c r="I420" s="4">
        <v>3</v>
      </c>
    </row>
    <row r="421" spans="1:9" x14ac:dyDescent="0.25">
      <c r="A421" s="3" t="s">
        <v>155</v>
      </c>
      <c r="B421" s="3" t="s">
        <v>263</v>
      </c>
      <c r="C421" s="3" t="s">
        <v>149</v>
      </c>
      <c r="D421" s="3" t="s">
        <v>36</v>
      </c>
      <c r="E421" s="3" t="s">
        <v>47</v>
      </c>
      <c r="F421" s="3" t="s">
        <v>156</v>
      </c>
      <c r="G421" s="3" t="s">
        <v>263</v>
      </c>
      <c r="H421" s="3" t="s">
        <v>49</v>
      </c>
      <c r="I421" s="4">
        <v>3</v>
      </c>
    </row>
    <row r="422" spans="1:9" x14ac:dyDescent="0.25">
      <c r="A422" s="3" t="s">
        <v>155</v>
      </c>
      <c r="B422" s="3" t="s">
        <v>263</v>
      </c>
      <c r="C422" s="3" t="s">
        <v>149</v>
      </c>
      <c r="D422" s="3" t="s">
        <v>36</v>
      </c>
      <c r="E422" s="3" t="s">
        <v>89</v>
      </c>
      <c r="F422" s="3" t="s">
        <v>156</v>
      </c>
      <c r="G422" s="3" t="s">
        <v>263</v>
      </c>
      <c r="H422" s="3" t="s">
        <v>90</v>
      </c>
      <c r="I422" s="4">
        <v>3</v>
      </c>
    </row>
    <row r="423" spans="1:9" x14ac:dyDescent="0.25">
      <c r="A423" s="3" t="s">
        <v>155</v>
      </c>
      <c r="B423" s="3" t="s">
        <v>7</v>
      </c>
      <c r="C423" s="3" t="s">
        <v>149</v>
      </c>
      <c r="D423" s="3" t="s">
        <v>36</v>
      </c>
      <c r="E423" s="3" t="s">
        <v>72</v>
      </c>
      <c r="F423" s="3" t="s">
        <v>156</v>
      </c>
      <c r="G423" s="3" t="s">
        <v>7</v>
      </c>
      <c r="H423" s="3" t="s">
        <v>73</v>
      </c>
      <c r="I423" s="4">
        <v>2</v>
      </c>
    </row>
    <row r="424" spans="1:9" x14ac:dyDescent="0.25">
      <c r="A424" s="3" t="s">
        <v>155</v>
      </c>
      <c r="B424" s="3" t="s">
        <v>4</v>
      </c>
      <c r="C424" s="3" t="s">
        <v>149</v>
      </c>
      <c r="D424" s="3" t="s">
        <v>36</v>
      </c>
      <c r="E424" s="3" t="s">
        <v>63</v>
      </c>
      <c r="F424" s="3" t="s">
        <v>156</v>
      </c>
      <c r="G424" s="3" t="s">
        <v>4</v>
      </c>
      <c r="H424" s="3" t="s">
        <v>65</v>
      </c>
      <c r="I424" s="4">
        <v>1</v>
      </c>
    </row>
    <row r="425" spans="1:9" x14ac:dyDescent="0.25">
      <c r="A425" s="3" t="s">
        <v>155</v>
      </c>
      <c r="B425" s="3" t="s">
        <v>4</v>
      </c>
      <c r="C425" s="3" t="s">
        <v>149</v>
      </c>
      <c r="D425" s="3" t="s">
        <v>36</v>
      </c>
      <c r="E425" s="3" t="s">
        <v>107</v>
      </c>
      <c r="F425" s="3" t="s">
        <v>156</v>
      </c>
      <c r="G425" s="3" t="s">
        <v>4</v>
      </c>
      <c r="H425" s="3" t="s">
        <v>108</v>
      </c>
      <c r="I425" s="4">
        <v>1</v>
      </c>
    </row>
    <row r="426" spans="1:9" x14ac:dyDescent="0.25">
      <c r="A426" s="3" t="s">
        <v>136</v>
      </c>
      <c r="B426" s="3" t="s">
        <v>7</v>
      </c>
      <c r="C426" s="3" t="s">
        <v>35</v>
      </c>
      <c r="D426" s="3" t="s">
        <v>36</v>
      </c>
      <c r="E426" s="3" t="s">
        <v>78</v>
      </c>
      <c r="F426" s="3" t="s">
        <v>137</v>
      </c>
      <c r="G426" s="3" t="s">
        <v>7</v>
      </c>
      <c r="H426" s="3" t="s">
        <v>79</v>
      </c>
      <c r="I426" s="4">
        <v>2</v>
      </c>
    </row>
    <row r="427" spans="1:9" x14ac:dyDescent="0.25">
      <c r="A427" s="3" t="s">
        <v>101</v>
      </c>
      <c r="B427" s="3" t="s">
        <v>4</v>
      </c>
      <c r="C427" s="3" t="s">
        <v>35</v>
      </c>
      <c r="D427" s="3" t="s">
        <v>36</v>
      </c>
      <c r="E427" s="3" t="s">
        <v>78</v>
      </c>
      <c r="F427" s="3" t="s">
        <v>102</v>
      </c>
      <c r="G427" s="3" t="s">
        <v>4</v>
      </c>
      <c r="H427" s="3" t="s">
        <v>79</v>
      </c>
      <c r="I427" s="4">
        <v>1</v>
      </c>
    </row>
    <row r="428" spans="1:9" x14ac:dyDescent="0.25">
      <c r="A428" s="3" t="s">
        <v>101</v>
      </c>
      <c r="B428" s="3" t="s">
        <v>4</v>
      </c>
      <c r="C428" s="3" t="s">
        <v>35</v>
      </c>
      <c r="D428" s="3" t="s">
        <v>36</v>
      </c>
      <c r="E428" s="3" t="s">
        <v>109</v>
      </c>
      <c r="F428" s="3" t="s">
        <v>102</v>
      </c>
      <c r="G428" s="3" t="s">
        <v>4</v>
      </c>
      <c r="H428" s="3" t="s">
        <v>110</v>
      </c>
      <c r="I428" s="4">
        <v>1</v>
      </c>
    </row>
    <row r="429" spans="1:9" x14ac:dyDescent="0.25">
      <c r="A429" s="3" t="s">
        <v>46</v>
      </c>
      <c r="B429" s="3" t="s">
        <v>270</v>
      </c>
      <c r="C429" s="3" t="s">
        <v>35</v>
      </c>
      <c r="D429" s="3" t="s">
        <v>36</v>
      </c>
      <c r="E429" s="3" t="s">
        <v>37</v>
      </c>
      <c r="F429" s="3" t="s">
        <v>48</v>
      </c>
      <c r="G429" s="3" t="s">
        <v>16</v>
      </c>
      <c r="H429" s="3" t="s">
        <v>39</v>
      </c>
      <c r="I429" s="4">
        <v>5</v>
      </c>
    </row>
    <row r="430" spans="1:9" x14ac:dyDescent="0.25">
      <c r="A430" s="3" t="s">
        <v>46</v>
      </c>
      <c r="B430" s="3" t="s">
        <v>272</v>
      </c>
      <c r="C430" s="3" t="s">
        <v>35</v>
      </c>
      <c r="D430" s="3" t="s">
        <v>36</v>
      </c>
      <c r="E430" s="3" t="s">
        <v>98</v>
      </c>
      <c r="F430" s="3" t="s">
        <v>48</v>
      </c>
      <c r="G430" s="3" t="s">
        <v>273</v>
      </c>
      <c r="H430" s="3" t="s">
        <v>100</v>
      </c>
      <c r="I430" s="4">
        <v>4</v>
      </c>
    </row>
    <row r="431" spans="1:9" x14ac:dyDescent="0.25">
      <c r="A431" s="3" t="s">
        <v>46</v>
      </c>
      <c r="B431" s="3" t="s">
        <v>271</v>
      </c>
      <c r="C431" s="3" t="s">
        <v>35</v>
      </c>
      <c r="D431" s="3" t="s">
        <v>36</v>
      </c>
      <c r="E431" s="3" t="s">
        <v>143</v>
      </c>
      <c r="F431" s="3" t="s">
        <v>48</v>
      </c>
      <c r="G431" s="3" t="s">
        <v>273</v>
      </c>
      <c r="H431" s="3" t="s">
        <v>144</v>
      </c>
      <c r="I431" s="4">
        <v>4</v>
      </c>
    </row>
    <row r="432" spans="1:9" x14ac:dyDescent="0.25">
      <c r="A432" s="3" t="s">
        <v>46</v>
      </c>
      <c r="B432" s="3" t="s">
        <v>263</v>
      </c>
      <c r="C432" s="3" t="s">
        <v>35</v>
      </c>
      <c r="D432" s="3" t="s">
        <v>36</v>
      </c>
      <c r="E432" s="3" t="s">
        <v>81</v>
      </c>
      <c r="F432" s="3" t="s">
        <v>48</v>
      </c>
      <c r="G432" s="3" t="s">
        <v>263</v>
      </c>
      <c r="H432" s="3" t="s">
        <v>83</v>
      </c>
      <c r="I432" s="4">
        <v>3</v>
      </c>
    </row>
    <row r="433" spans="1:9" x14ac:dyDescent="0.25">
      <c r="A433" s="3" t="s">
        <v>46</v>
      </c>
      <c r="B433" s="3" t="s">
        <v>263</v>
      </c>
      <c r="C433" s="3" t="s">
        <v>35</v>
      </c>
      <c r="D433" s="3" t="s">
        <v>36</v>
      </c>
      <c r="E433" s="3" t="s">
        <v>141</v>
      </c>
      <c r="F433" s="3" t="s">
        <v>48</v>
      </c>
      <c r="G433" s="3" t="s">
        <v>263</v>
      </c>
      <c r="H433" s="3" t="s">
        <v>142</v>
      </c>
      <c r="I433" s="4">
        <v>3</v>
      </c>
    </row>
    <row r="434" spans="1:9" x14ac:dyDescent="0.25">
      <c r="A434" s="3" t="s">
        <v>46</v>
      </c>
      <c r="B434" s="3" t="s">
        <v>7</v>
      </c>
      <c r="C434" s="3" t="s">
        <v>35</v>
      </c>
      <c r="D434" s="3" t="s">
        <v>36</v>
      </c>
      <c r="E434" s="3" t="s">
        <v>109</v>
      </c>
      <c r="F434" s="3" t="s">
        <v>48</v>
      </c>
      <c r="G434" s="3" t="s">
        <v>7</v>
      </c>
      <c r="H434" s="3" t="s">
        <v>110</v>
      </c>
      <c r="I434" s="4">
        <v>2</v>
      </c>
    </row>
    <row r="435" spans="1:9" x14ac:dyDescent="0.25">
      <c r="A435" s="3" t="s">
        <v>46</v>
      </c>
      <c r="B435" s="3" t="s">
        <v>7</v>
      </c>
      <c r="C435" s="3" t="s">
        <v>35</v>
      </c>
      <c r="D435" s="3" t="s">
        <v>36</v>
      </c>
      <c r="E435" s="3" t="s">
        <v>125</v>
      </c>
      <c r="F435" s="3" t="s">
        <v>48</v>
      </c>
      <c r="G435" s="3" t="s">
        <v>7</v>
      </c>
      <c r="H435" s="3" t="s">
        <v>126</v>
      </c>
      <c r="I435" s="4">
        <v>2</v>
      </c>
    </row>
    <row r="436" spans="1:9" x14ac:dyDescent="0.25">
      <c r="A436" s="3" t="s">
        <v>46</v>
      </c>
      <c r="B436" s="3" t="s">
        <v>4</v>
      </c>
      <c r="C436" s="3" t="s">
        <v>35</v>
      </c>
      <c r="D436" s="3" t="s">
        <v>36</v>
      </c>
      <c r="E436" s="3" t="s">
        <v>47</v>
      </c>
      <c r="F436" s="3" t="s">
        <v>48</v>
      </c>
      <c r="G436" s="3" t="s">
        <v>4</v>
      </c>
      <c r="H436" s="3" t="s">
        <v>49</v>
      </c>
      <c r="I436" s="4">
        <v>1</v>
      </c>
    </row>
    <row r="437" spans="1:9" x14ac:dyDescent="0.25">
      <c r="A437" s="3" t="s">
        <v>46</v>
      </c>
      <c r="B437" s="3" t="s">
        <v>4</v>
      </c>
      <c r="C437" s="3" t="s">
        <v>35</v>
      </c>
      <c r="D437" s="3" t="s">
        <v>36</v>
      </c>
      <c r="E437" s="3" t="s">
        <v>60</v>
      </c>
      <c r="F437" s="3" t="s">
        <v>48</v>
      </c>
      <c r="G437" s="3" t="s">
        <v>4</v>
      </c>
      <c r="H437" s="3" t="s">
        <v>61</v>
      </c>
      <c r="I437" s="4">
        <v>1</v>
      </c>
    </row>
    <row r="438" spans="1:9" x14ac:dyDescent="0.25">
      <c r="A438" s="3" t="s">
        <v>46</v>
      </c>
      <c r="B438" s="3" t="s">
        <v>4</v>
      </c>
      <c r="C438" s="3" t="s">
        <v>35</v>
      </c>
      <c r="D438" s="3" t="s">
        <v>36</v>
      </c>
      <c r="E438" s="3" t="s">
        <v>107</v>
      </c>
      <c r="F438" s="3" t="s">
        <v>48</v>
      </c>
      <c r="G438" s="3" t="s">
        <v>4</v>
      </c>
      <c r="H438" s="3" t="s">
        <v>108</v>
      </c>
      <c r="I438" s="4">
        <v>1</v>
      </c>
    </row>
    <row r="439" spans="1:9" x14ac:dyDescent="0.25">
      <c r="A439" s="3" t="s">
        <v>46</v>
      </c>
      <c r="B439" s="3" t="s">
        <v>4</v>
      </c>
      <c r="C439" s="3" t="s">
        <v>35</v>
      </c>
      <c r="D439" s="3" t="s">
        <v>36</v>
      </c>
      <c r="E439" s="3" t="s">
        <v>53</v>
      </c>
      <c r="F439" s="3" t="s">
        <v>48</v>
      </c>
      <c r="G439" s="3" t="s">
        <v>4</v>
      </c>
      <c r="H439" s="3" t="s">
        <v>55</v>
      </c>
      <c r="I439" s="4">
        <v>1</v>
      </c>
    </row>
    <row r="440" spans="1:9" x14ac:dyDescent="0.25">
      <c r="A440" s="3" t="s">
        <v>46</v>
      </c>
      <c r="B440" s="3" t="s">
        <v>4</v>
      </c>
      <c r="C440" s="3" t="s">
        <v>35</v>
      </c>
      <c r="D440" s="3" t="s">
        <v>36</v>
      </c>
      <c r="E440" s="3" t="s">
        <v>266</v>
      </c>
      <c r="F440" s="3" t="s">
        <v>48</v>
      </c>
      <c r="G440" s="3" t="s">
        <v>4</v>
      </c>
      <c r="H440" s="3" t="s">
        <v>267</v>
      </c>
      <c r="I440" s="4">
        <v>1</v>
      </c>
    </row>
    <row r="441" spans="1:9" x14ac:dyDescent="0.25">
      <c r="A441" s="3" t="s">
        <v>245</v>
      </c>
      <c r="B441" s="3" t="s">
        <v>4</v>
      </c>
      <c r="C441" s="3" t="s">
        <v>162</v>
      </c>
      <c r="D441" s="3" t="s">
        <v>163</v>
      </c>
      <c r="E441" s="3" t="s">
        <v>125</v>
      </c>
      <c r="F441" s="3" t="s">
        <v>246</v>
      </c>
      <c r="G441" s="3" t="s">
        <v>4</v>
      </c>
      <c r="H441" s="3" t="s">
        <v>126</v>
      </c>
      <c r="I441" s="4">
        <v>1</v>
      </c>
    </row>
    <row r="442" spans="1:9" x14ac:dyDescent="0.25">
      <c r="A442" s="3" t="s">
        <v>257</v>
      </c>
      <c r="B442" s="3" t="s">
        <v>4</v>
      </c>
      <c r="C442" s="3" t="s">
        <v>207</v>
      </c>
      <c r="D442" s="3" t="s">
        <v>171</v>
      </c>
      <c r="E442" s="3" t="s">
        <v>125</v>
      </c>
      <c r="F442" s="3" t="s">
        <v>258</v>
      </c>
      <c r="G442" s="3" t="s">
        <v>4</v>
      </c>
      <c r="H442" s="3" t="s">
        <v>126</v>
      </c>
      <c r="I442" s="4">
        <v>1</v>
      </c>
    </row>
    <row r="443" spans="1:9" x14ac:dyDescent="0.25">
      <c r="A443" s="3" t="s">
        <v>224</v>
      </c>
      <c r="B443" s="3" t="s">
        <v>4</v>
      </c>
      <c r="C443" s="3" t="s">
        <v>162</v>
      </c>
      <c r="D443" s="3" t="s">
        <v>163</v>
      </c>
      <c r="E443" s="3" t="s">
        <v>75</v>
      </c>
      <c r="F443" s="3" t="s">
        <v>225</v>
      </c>
      <c r="G443" s="3" t="s">
        <v>4</v>
      </c>
      <c r="H443" s="3" t="s">
        <v>77</v>
      </c>
      <c r="I443" s="4">
        <v>1</v>
      </c>
    </row>
    <row r="444" spans="1:9" x14ac:dyDescent="0.25">
      <c r="A444" s="3" t="s">
        <v>224</v>
      </c>
      <c r="B444" s="3" t="s">
        <v>4</v>
      </c>
      <c r="C444" s="3" t="s">
        <v>162</v>
      </c>
      <c r="D444" s="3" t="s">
        <v>163</v>
      </c>
      <c r="E444" s="3" t="s">
        <v>109</v>
      </c>
      <c r="F444" s="3" t="s">
        <v>225</v>
      </c>
      <c r="G444" s="3" t="s">
        <v>4</v>
      </c>
      <c r="H444" s="3" t="s">
        <v>110</v>
      </c>
      <c r="I444" s="4">
        <v>1</v>
      </c>
    </row>
    <row r="445" spans="1:9" x14ac:dyDescent="0.25">
      <c r="A445" s="3" t="s">
        <v>224</v>
      </c>
      <c r="B445" s="3" t="s">
        <v>4</v>
      </c>
      <c r="C445" s="3" t="s">
        <v>162</v>
      </c>
      <c r="D445" s="3" t="s">
        <v>163</v>
      </c>
      <c r="E445" s="3" t="s">
        <v>85</v>
      </c>
      <c r="F445" s="3" t="s">
        <v>225</v>
      </c>
      <c r="G445" s="3" t="s">
        <v>4</v>
      </c>
      <c r="H445" s="3" t="s">
        <v>87</v>
      </c>
      <c r="I445" s="4">
        <v>1</v>
      </c>
    </row>
    <row r="446" spans="1:9" x14ac:dyDescent="0.25">
      <c r="A446" s="3" t="s">
        <v>224</v>
      </c>
      <c r="B446" s="3" t="s">
        <v>4</v>
      </c>
      <c r="C446" s="3" t="s">
        <v>162</v>
      </c>
      <c r="D446" s="3" t="s">
        <v>163</v>
      </c>
      <c r="E446" s="3" t="s">
        <v>125</v>
      </c>
      <c r="F446" s="3" t="s">
        <v>225</v>
      </c>
      <c r="G446" s="3" t="s">
        <v>4</v>
      </c>
      <c r="H446" s="3" t="s">
        <v>126</v>
      </c>
      <c r="I446" s="4">
        <v>1</v>
      </c>
    </row>
    <row r="447" spans="1:9" x14ac:dyDescent="0.25">
      <c r="A447" s="3" t="s">
        <v>224</v>
      </c>
      <c r="B447" s="3" t="s">
        <v>4</v>
      </c>
      <c r="C447" s="3" t="s">
        <v>162</v>
      </c>
      <c r="D447" s="3" t="s">
        <v>163</v>
      </c>
      <c r="E447" s="3" t="s">
        <v>81</v>
      </c>
      <c r="F447" s="3" t="s">
        <v>225</v>
      </c>
      <c r="G447" s="3" t="s">
        <v>4</v>
      </c>
      <c r="H447" s="3" t="s">
        <v>83</v>
      </c>
      <c r="I447" s="4">
        <v>1</v>
      </c>
    </row>
    <row r="448" spans="1:9" x14ac:dyDescent="0.25">
      <c r="A448" s="3" t="s">
        <v>224</v>
      </c>
      <c r="B448" s="3" t="s">
        <v>4</v>
      </c>
      <c r="C448" s="3" t="s">
        <v>162</v>
      </c>
      <c r="D448" s="3" t="s">
        <v>163</v>
      </c>
      <c r="E448" s="3" t="s">
        <v>60</v>
      </c>
      <c r="F448" s="3" t="s">
        <v>225</v>
      </c>
      <c r="G448" s="3" t="s">
        <v>4</v>
      </c>
      <c r="H448" s="3" t="s">
        <v>61</v>
      </c>
      <c r="I448" s="4">
        <v>1</v>
      </c>
    </row>
    <row r="449" spans="1:9" x14ac:dyDescent="0.25">
      <c r="A449" s="3" t="s">
        <v>148</v>
      </c>
      <c r="B449" s="3" t="s">
        <v>272</v>
      </c>
      <c r="C449" s="3" t="s">
        <v>149</v>
      </c>
      <c r="D449" s="3" t="s">
        <v>36</v>
      </c>
      <c r="E449" s="3" t="s">
        <v>109</v>
      </c>
      <c r="F449" s="3" t="s">
        <v>150</v>
      </c>
      <c r="G449" s="3" t="s">
        <v>273</v>
      </c>
      <c r="H449" s="3" t="s">
        <v>110</v>
      </c>
      <c r="I449" s="4">
        <v>4</v>
      </c>
    </row>
    <row r="450" spans="1:9" x14ac:dyDescent="0.25">
      <c r="A450" s="3" t="s">
        <v>148</v>
      </c>
      <c r="B450" s="3" t="s">
        <v>4</v>
      </c>
      <c r="C450" s="3" t="s">
        <v>149</v>
      </c>
      <c r="D450" s="3" t="s">
        <v>36</v>
      </c>
      <c r="E450" s="3" t="s">
        <v>268</v>
      </c>
      <c r="F450" s="3" t="s">
        <v>150</v>
      </c>
      <c r="G450" s="3" t="s">
        <v>4</v>
      </c>
      <c r="H450" s="3" t="s">
        <v>269</v>
      </c>
      <c r="I450" s="4">
        <v>1</v>
      </c>
    </row>
    <row r="451" spans="1:9" x14ac:dyDescent="0.25">
      <c r="A451" s="3" t="s">
        <v>138</v>
      </c>
      <c r="B451" s="3" t="s">
        <v>263</v>
      </c>
      <c r="C451" s="3" t="s">
        <v>35</v>
      </c>
      <c r="D451" s="3" t="s">
        <v>36</v>
      </c>
      <c r="E451" s="3" t="s">
        <v>125</v>
      </c>
      <c r="F451" s="3" t="s">
        <v>139</v>
      </c>
      <c r="G451" s="3" t="s">
        <v>263</v>
      </c>
      <c r="H451" s="3" t="s">
        <v>126</v>
      </c>
      <c r="I451" s="4">
        <v>3</v>
      </c>
    </row>
    <row r="452" spans="1:9" x14ac:dyDescent="0.25">
      <c r="A452" s="3" t="s">
        <v>157</v>
      </c>
      <c r="B452" s="3" t="s">
        <v>19</v>
      </c>
      <c r="C452" s="3" t="s">
        <v>145</v>
      </c>
      <c r="D452" s="3" t="s">
        <v>146</v>
      </c>
      <c r="E452" s="3" t="s">
        <v>119</v>
      </c>
      <c r="F452" s="3" t="s">
        <v>158</v>
      </c>
      <c r="G452" s="3" t="s">
        <v>19</v>
      </c>
      <c r="H452" s="3" t="s">
        <v>120</v>
      </c>
      <c r="I452" s="4">
        <v>6</v>
      </c>
    </row>
    <row r="453" spans="1:9" x14ac:dyDescent="0.25">
      <c r="A453" s="3" t="s">
        <v>157</v>
      </c>
      <c r="B453" s="3" t="s">
        <v>271</v>
      </c>
      <c r="C453" s="3" t="s">
        <v>145</v>
      </c>
      <c r="D453" s="3" t="s">
        <v>146</v>
      </c>
      <c r="E453" s="3" t="s">
        <v>78</v>
      </c>
      <c r="F453" s="3" t="s">
        <v>158</v>
      </c>
      <c r="G453" s="3" t="s">
        <v>273</v>
      </c>
      <c r="H453" s="3" t="s">
        <v>79</v>
      </c>
      <c r="I453" s="4">
        <v>4</v>
      </c>
    </row>
    <row r="454" spans="1:9" x14ac:dyDescent="0.25">
      <c r="A454" s="3" t="s">
        <v>157</v>
      </c>
      <c r="B454" s="3" t="s">
        <v>271</v>
      </c>
      <c r="C454" s="3" t="s">
        <v>145</v>
      </c>
      <c r="D454" s="3" t="s">
        <v>146</v>
      </c>
      <c r="E454" s="3" t="s">
        <v>47</v>
      </c>
      <c r="F454" s="3" t="s">
        <v>158</v>
      </c>
      <c r="G454" s="3" t="s">
        <v>273</v>
      </c>
      <c r="H454" s="3" t="s">
        <v>49</v>
      </c>
      <c r="I454" s="4">
        <v>4</v>
      </c>
    </row>
    <row r="455" spans="1:9" x14ac:dyDescent="0.25">
      <c r="A455" s="3" t="s">
        <v>157</v>
      </c>
      <c r="B455" s="3" t="s">
        <v>271</v>
      </c>
      <c r="C455" s="3" t="s">
        <v>145</v>
      </c>
      <c r="D455" s="3" t="s">
        <v>146</v>
      </c>
      <c r="E455" s="3" t="s">
        <v>268</v>
      </c>
      <c r="F455" s="3" t="s">
        <v>158</v>
      </c>
      <c r="G455" s="3" t="s">
        <v>273</v>
      </c>
      <c r="H455" s="3" t="s">
        <v>269</v>
      </c>
      <c r="I455" s="4">
        <v>4</v>
      </c>
    </row>
    <row r="456" spans="1:9" x14ac:dyDescent="0.25">
      <c r="A456" s="3" t="s">
        <v>157</v>
      </c>
      <c r="B456" s="3" t="s">
        <v>263</v>
      </c>
      <c r="C456" s="3" t="s">
        <v>145</v>
      </c>
      <c r="D456" s="3" t="s">
        <v>146</v>
      </c>
      <c r="E456" s="3" t="s">
        <v>81</v>
      </c>
      <c r="F456" s="3" t="s">
        <v>158</v>
      </c>
      <c r="G456" s="3" t="s">
        <v>263</v>
      </c>
      <c r="H456" s="3" t="s">
        <v>83</v>
      </c>
      <c r="I456" s="4">
        <v>3</v>
      </c>
    </row>
    <row r="457" spans="1:9" x14ac:dyDescent="0.25">
      <c r="A457" s="3" t="s">
        <v>157</v>
      </c>
      <c r="B457" s="3" t="s">
        <v>263</v>
      </c>
      <c r="C457" s="3" t="s">
        <v>145</v>
      </c>
      <c r="D457" s="3" t="s">
        <v>146</v>
      </c>
      <c r="E457" s="3" t="s">
        <v>43</v>
      </c>
      <c r="F457" s="3" t="s">
        <v>158</v>
      </c>
      <c r="G457" s="3" t="s">
        <v>263</v>
      </c>
      <c r="H457" s="3" t="s">
        <v>45</v>
      </c>
      <c r="I457" s="4">
        <v>3</v>
      </c>
    </row>
    <row r="458" spans="1:9" x14ac:dyDescent="0.25">
      <c r="A458" s="3" t="s">
        <v>157</v>
      </c>
      <c r="B458" s="3" t="s">
        <v>7</v>
      </c>
      <c r="C458" s="3" t="s">
        <v>145</v>
      </c>
      <c r="D458" s="3" t="s">
        <v>146</v>
      </c>
      <c r="E458" s="3" t="s">
        <v>72</v>
      </c>
      <c r="F458" s="3" t="s">
        <v>158</v>
      </c>
      <c r="G458" s="3" t="s">
        <v>7</v>
      </c>
      <c r="H458" s="3" t="s">
        <v>73</v>
      </c>
      <c r="I458" s="4">
        <v>2</v>
      </c>
    </row>
    <row r="459" spans="1:9" x14ac:dyDescent="0.25">
      <c r="A459" s="3" t="s">
        <v>157</v>
      </c>
      <c r="B459" s="3" t="s">
        <v>7</v>
      </c>
      <c r="C459" s="3" t="s">
        <v>145</v>
      </c>
      <c r="D459" s="3" t="s">
        <v>146</v>
      </c>
      <c r="E459" s="3" t="s">
        <v>107</v>
      </c>
      <c r="F459" s="3" t="s">
        <v>158</v>
      </c>
      <c r="G459" s="3" t="s">
        <v>7</v>
      </c>
      <c r="H459" s="3" t="s">
        <v>108</v>
      </c>
      <c r="I459" s="4">
        <v>2</v>
      </c>
    </row>
    <row r="460" spans="1:9" x14ac:dyDescent="0.25">
      <c r="A460" s="3" t="s">
        <v>157</v>
      </c>
      <c r="B460" s="3" t="s">
        <v>7</v>
      </c>
      <c r="C460" s="3" t="s">
        <v>145</v>
      </c>
      <c r="D460" s="3" t="s">
        <v>146</v>
      </c>
      <c r="E460" s="3" t="s">
        <v>114</v>
      </c>
      <c r="F460" s="3" t="s">
        <v>158</v>
      </c>
      <c r="G460" s="3" t="s">
        <v>7</v>
      </c>
      <c r="H460" s="3" t="s">
        <v>116</v>
      </c>
      <c r="I460" s="4">
        <v>2</v>
      </c>
    </row>
    <row r="461" spans="1:9" x14ac:dyDescent="0.25">
      <c r="A461" s="3" t="s">
        <v>157</v>
      </c>
      <c r="B461" s="3" t="s">
        <v>4</v>
      </c>
      <c r="C461" s="3" t="s">
        <v>145</v>
      </c>
      <c r="D461" s="3" t="s">
        <v>146</v>
      </c>
      <c r="E461" s="3" t="s">
        <v>53</v>
      </c>
      <c r="F461" s="3" t="s">
        <v>158</v>
      </c>
      <c r="G461" s="3" t="s">
        <v>4</v>
      </c>
      <c r="H461" s="3" t="s">
        <v>55</v>
      </c>
      <c r="I461" s="4">
        <v>1</v>
      </c>
    </row>
    <row r="462" spans="1:9" x14ac:dyDescent="0.25">
      <c r="A462" s="3" t="s">
        <v>157</v>
      </c>
      <c r="B462" s="3" t="s">
        <v>4</v>
      </c>
      <c r="C462" s="3" t="s">
        <v>145</v>
      </c>
      <c r="D462" s="3" t="s">
        <v>146</v>
      </c>
      <c r="E462" s="3" t="s">
        <v>89</v>
      </c>
      <c r="F462" s="3" t="s">
        <v>158</v>
      </c>
      <c r="G462" s="3" t="s">
        <v>4</v>
      </c>
      <c r="H462" s="3" t="s">
        <v>90</v>
      </c>
      <c r="I462" s="4">
        <v>1</v>
      </c>
    </row>
    <row r="463" spans="1:9" x14ac:dyDescent="0.25">
      <c r="A463" s="3" t="s">
        <v>157</v>
      </c>
      <c r="B463" s="3" t="s">
        <v>4</v>
      </c>
      <c r="C463" s="3" t="s">
        <v>145</v>
      </c>
      <c r="D463" s="3" t="s">
        <v>146</v>
      </c>
      <c r="E463" s="3" t="s">
        <v>109</v>
      </c>
      <c r="F463" s="3" t="s">
        <v>158</v>
      </c>
      <c r="G463" s="3" t="s">
        <v>4</v>
      </c>
      <c r="H463" s="3" t="s">
        <v>110</v>
      </c>
      <c r="I463" s="4">
        <v>1</v>
      </c>
    </row>
    <row r="464" spans="1:9" x14ac:dyDescent="0.25">
      <c r="A464" s="3" t="s">
        <v>157</v>
      </c>
      <c r="B464" s="3" t="s">
        <v>4</v>
      </c>
      <c r="C464" s="3" t="s">
        <v>145</v>
      </c>
      <c r="D464" s="3" t="s">
        <v>146</v>
      </c>
      <c r="E464" s="3" t="s">
        <v>85</v>
      </c>
      <c r="F464" s="3" t="s">
        <v>158</v>
      </c>
      <c r="G464" s="3" t="s">
        <v>4</v>
      </c>
      <c r="H464" s="3" t="s">
        <v>87</v>
      </c>
      <c r="I464" s="4">
        <v>1</v>
      </c>
    </row>
    <row r="465" spans="1:9" x14ac:dyDescent="0.25">
      <c r="A465" s="3" t="s">
        <v>157</v>
      </c>
      <c r="B465" s="3" t="s">
        <v>4</v>
      </c>
      <c r="C465" s="3" t="s">
        <v>145</v>
      </c>
      <c r="D465" s="3" t="s">
        <v>146</v>
      </c>
      <c r="E465" s="3" t="s">
        <v>266</v>
      </c>
      <c r="F465" s="3" t="s">
        <v>158</v>
      </c>
      <c r="G465" s="3" t="s">
        <v>4</v>
      </c>
      <c r="H465" s="3" t="s">
        <v>267</v>
      </c>
      <c r="I465" s="4">
        <v>1</v>
      </c>
    </row>
    <row r="466" spans="1:9" x14ac:dyDescent="0.25">
      <c r="A466" s="3" t="s">
        <v>177</v>
      </c>
      <c r="B466" s="3" t="s">
        <v>140</v>
      </c>
      <c r="C466" s="3" t="s">
        <v>170</v>
      </c>
      <c r="D466" s="3" t="s">
        <v>171</v>
      </c>
      <c r="E466" s="3" t="s">
        <v>119</v>
      </c>
      <c r="F466" s="3" t="s">
        <v>178</v>
      </c>
      <c r="G466" s="3" t="s">
        <v>273</v>
      </c>
      <c r="H466" s="3" t="s">
        <v>120</v>
      </c>
      <c r="I466" s="4">
        <v>4</v>
      </c>
    </row>
    <row r="467" spans="1:9" x14ac:dyDescent="0.25">
      <c r="A467" s="3" t="s">
        <v>177</v>
      </c>
      <c r="B467" s="3" t="s">
        <v>263</v>
      </c>
      <c r="C467" s="3" t="s">
        <v>170</v>
      </c>
      <c r="D467" s="3" t="s">
        <v>171</v>
      </c>
      <c r="E467" s="3" t="s">
        <v>109</v>
      </c>
      <c r="F467" s="3" t="s">
        <v>178</v>
      </c>
      <c r="G467" s="3" t="s">
        <v>263</v>
      </c>
      <c r="H467" s="3" t="s">
        <v>110</v>
      </c>
      <c r="I467" s="4">
        <v>3</v>
      </c>
    </row>
    <row r="468" spans="1:9" x14ac:dyDescent="0.25">
      <c r="A468" s="3" t="s">
        <v>177</v>
      </c>
      <c r="B468" s="3" t="s">
        <v>7</v>
      </c>
      <c r="C468" s="3" t="s">
        <v>170</v>
      </c>
      <c r="D468" s="3" t="s">
        <v>171</v>
      </c>
      <c r="E468" s="3" t="s">
        <v>98</v>
      </c>
      <c r="F468" s="3" t="s">
        <v>178</v>
      </c>
      <c r="G468" s="3" t="s">
        <v>7</v>
      </c>
      <c r="H468" s="3" t="s">
        <v>100</v>
      </c>
      <c r="I468" s="4">
        <v>2</v>
      </c>
    </row>
    <row r="469" spans="1:9" x14ac:dyDescent="0.25">
      <c r="A469" s="3" t="s">
        <v>177</v>
      </c>
      <c r="B469" s="3" t="s">
        <v>7</v>
      </c>
      <c r="C469" s="3" t="s">
        <v>170</v>
      </c>
      <c r="D469" s="3" t="s">
        <v>171</v>
      </c>
      <c r="E469" s="3" t="s">
        <v>78</v>
      </c>
      <c r="F469" s="3" t="s">
        <v>178</v>
      </c>
      <c r="G469" s="3" t="s">
        <v>7</v>
      </c>
      <c r="H469" s="3" t="s">
        <v>79</v>
      </c>
      <c r="I469" s="4">
        <v>2</v>
      </c>
    </row>
    <row r="470" spans="1:9" x14ac:dyDescent="0.25">
      <c r="A470" s="3" t="s">
        <v>177</v>
      </c>
      <c r="B470" s="3" t="s">
        <v>7</v>
      </c>
      <c r="C470" s="3" t="s">
        <v>170</v>
      </c>
      <c r="D470" s="3" t="s">
        <v>171</v>
      </c>
      <c r="E470" s="3" t="s">
        <v>85</v>
      </c>
      <c r="F470" s="3" t="s">
        <v>178</v>
      </c>
      <c r="G470" s="3" t="s">
        <v>7</v>
      </c>
      <c r="H470" s="3" t="s">
        <v>87</v>
      </c>
      <c r="I470" s="4">
        <v>2</v>
      </c>
    </row>
    <row r="471" spans="1:9" x14ac:dyDescent="0.25">
      <c r="A471" s="3" t="s">
        <v>177</v>
      </c>
      <c r="B471" s="3" t="s">
        <v>7</v>
      </c>
      <c r="C471" s="3" t="s">
        <v>170</v>
      </c>
      <c r="D471" s="3" t="s">
        <v>171</v>
      </c>
      <c r="E471" s="3" t="s">
        <v>114</v>
      </c>
      <c r="F471" s="3" t="s">
        <v>178</v>
      </c>
      <c r="G471" s="3" t="s">
        <v>7</v>
      </c>
      <c r="H471" s="3" t="s">
        <v>116</v>
      </c>
      <c r="I471" s="4">
        <v>2</v>
      </c>
    </row>
    <row r="472" spans="1:9" x14ac:dyDescent="0.25">
      <c r="A472" s="3" t="s">
        <v>177</v>
      </c>
      <c r="B472" s="3" t="s">
        <v>7</v>
      </c>
      <c r="C472" s="3" t="s">
        <v>170</v>
      </c>
      <c r="D472" s="3" t="s">
        <v>171</v>
      </c>
      <c r="E472" s="3" t="s">
        <v>141</v>
      </c>
      <c r="F472" s="3" t="s">
        <v>178</v>
      </c>
      <c r="G472" s="3" t="s">
        <v>7</v>
      </c>
      <c r="H472" s="3" t="s">
        <v>142</v>
      </c>
      <c r="I472" s="4">
        <v>2</v>
      </c>
    </row>
    <row r="473" spans="1:9" x14ac:dyDescent="0.25">
      <c r="A473" s="3" t="s">
        <v>177</v>
      </c>
      <c r="B473" s="3" t="s">
        <v>4</v>
      </c>
      <c r="C473" s="3" t="s">
        <v>170</v>
      </c>
      <c r="D473" s="3" t="s">
        <v>171</v>
      </c>
      <c r="E473" s="3" t="s">
        <v>125</v>
      </c>
      <c r="F473" s="3" t="s">
        <v>178</v>
      </c>
      <c r="G473" s="3" t="s">
        <v>4</v>
      </c>
      <c r="H473" s="3" t="s">
        <v>126</v>
      </c>
      <c r="I473" s="4">
        <v>1</v>
      </c>
    </row>
    <row r="474" spans="1:9" x14ac:dyDescent="0.25">
      <c r="A474" s="3" t="s">
        <v>177</v>
      </c>
      <c r="B474" s="3" t="s">
        <v>4</v>
      </c>
      <c r="C474" s="3" t="s">
        <v>170</v>
      </c>
      <c r="D474" s="3" t="s">
        <v>171</v>
      </c>
      <c r="E474" s="3" t="s">
        <v>266</v>
      </c>
      <c r="F474" s="3" t="s">
        <v>178</v>
      </c>
      <c r="G474" s="3" t="s">
        <v>4</v>
      </c>
      <c r="H474" s="3" t="s">
        <v>267</v>
      </c>
      <c r="I474" s="4">
        <v>1</v>
      </c>
    </row>
    <row r="475" spans="1:9" x14ac:dyDescent="0.25">
      <c r="A475" s="3" t="s">
        <v>177</v>
      </c>
      <c r="B475" s="3" t="s">
        <v>4</v>
      </c>
      <c r="C475" s="3" t="s">
        <v>170</v>
      </c>
      <c r="D475" s="3" t="s">
        <v>171</v>
      </c>
      <c r="E475" s="3" t="s">
        <v>107</v>
      </c>
      <c r="F475" s="3" t="s">
        <v>178</v>
      </c>
      <c r="G475" s="3" t="s">
        <v>4</v>
      </c>
      <c r="H475" s="3" t="s">
        <v>108</v>
      </c>
      <c r="I475" s="4">
        <v>1</v>
      </c>
    </row>
    <row r="476" spans="1:9" x14ac:dyDescent="0.25">
      <c r="A476" s="3" t="s">
        <v>177</v>
      </c>
      <c r="B476" s="3" t="s">
        <v>4</v>
      </c>
      <c r="C476" s="3" t="s">
        <v>170</v>
      </c>
      <c r="D476" s="3" t="s">
        <v>171</v>
      </c>
      <c r="E476" s="3" t="s">
        <v>75</v>
      </c>
      <c r="F476" s="3" t="s">
        <v>178</v>
      </c>
      <c r="G476" s="3" t="s">
        <v>4</v>
      </c>
      <c r="H476" s="3" t="s">
        <v>77</v>
      </c>
      <c r="I476" s="4">
        <v>1</v>
      </c>
    </row>
    <row r="477" spans="1:9" x14ac:dyDescent="0.25">
      <c r="A477" s="3" t="s">
        <v>84</v>
      </c>
      <c r="B477" s="3" t="s">
        <v>263</v>
      </c>
      <c r="C477" s="3" t="s">
        <v>35</v>
      </c>
      <c r="D477" s="3" t="s">
        <v>36</v>
      </c>
      <c r="E477" s="3" t="s">
        <v>37</v>
      </c>
      <c r="F477" s="3" t="s">
        <v>86</v>
      </c>
      <c r="G477" s="3" t="s">
        <v>263</v>
      </c>
      <c r="H477" s="3" t="s">
        <v>39</v>
      </c>
      <c r="I477" s="4">
        <v>3</v>
      </c>
    </row>
    <row r="478" spans="1:9" x14ac:dyDescent="0.25">
      <c r="A478" s="3" t="s">
        <v>84</v>
      </c>
      <c r="B478" s="3" t="s">
        <v>4</v>
      </c>
      <c r="C478" s="3" t="s">
        <v>35</v>
      </c>
      <c r="D478" s="3" t="s">
        <v>36</v>
      </c>
      <c r="E478" s="3" t="s">
        <v>85</v>
      </c>
      <c r="F478" s="3" t="s">
        <v>86</v>
      </c>
      <c r="G478" s="3" t="s">
        <v>4</v>
      </c>
      <c r="H478" s="3" t="s">
        <v>87</v>
      </c>
      <c r="I478" s="4">
        <v>1</v>
      </c>
    </row>
    <row r="479" spans="1:9" x14ac:dyDescent="0.25">
      <c r="A479" s="3" t="s">
        <v>58</v>
      </c>
      <c r="B479" s="3" t="s">
        <v>140</v>
      </c>
      <c r="C479" s="3" t="s">
        <v>35</v>
      </c>
      <c r="D479" s="3" t="s">
        <v>36</v>
      </c>
      <c r="E479" s="3" t="s">
        <v>119</v>
      </c>
      <c r="F479" s="3" t="s">
        <v>59</v>
      </c>
      <c r="G479" s="3" t="s">
        <v>273</v>
      </c>
      <c r="H479" s="3" t="s">
        <v>120</v>
      </c>
      <c r="I479" s="4">
        <v>4</v>
      </c>
    </row>
    <row r="480" spans="1:9" x14ac:dyDescent="0.25">
      <c r="A480" s="3" t="s">
        <v>58</v>
      </c>
      <c r="B480" s="3" t="s">
        <v>271</v>
      </c>
      <c r="C480" s="3" t="s">
        <v>35</v>
      </c>
      <c r="D480" s="3" t="s">
        <v>36</v>
      </c>
      <c r="E480" s="3" t="s">
        <v>89</v>
      </c>
      <c r="F480" s="3" t="s">
        <v>59</v>
      </c>
      <c r="G480" s="3" t="s">
        <v>273</v>
      </c>
      <c r="H480" s="3" t="s">
        <v>90</v>
      </c>
      <c r="I480" s="4">
        <v>4</v>
      </c>
    </row>
    <row r="481" spans="1:9" x14ac:dyDescent="0.25">
      <c r="A481" s="3" t="s">
        <v>58</v>
      </c>
      <c r="B481" s="3" t="s">
        <v>263</v>
      </c>
      <c r="C481" s="3" t="s">
        <v>35</v>
      </c>
      <c r="D481" s="3" t="s">
        <v>36</v>
      </c>
      <c r="E481" s="3" t="s">
        <v>268</v>
      </c>
      <c r="F481" s="3" t="s">
        <v>59</v>
      </c>
      <c r="G481" s="3" t="s">
        <v>263</v>
      </c>
      <c r="H481" s="3" t="s">
        <v>269</v>
      </c>
      <c r="I481" s="4">
        <v>3</v>
      </c>
    </row>
    <row r="482" spans="1:9" x14ac:dyDescent="0.25">
      <c r="A482" s="3" t="s">
        <v>58</v>
      </c>
      <c r="B482" s="3" t="s">
        <v>263</v>
      </c>
      <c r="C482" s="3" t="s">
        <v>35</v>
      </c>
      <c r="D482" s="3" t="s">
        <v>36</v>
      </c>
      <c r="E482" s="3" t="s">
        <v>37</v>
      </c>
      <c r="F482" s="3" t="s">
        <v>59</v>
      </c>
      <c r="G482" s="3" t="s">
        <v>263</v>
      </c>
      <c r="H482" s="3" t="s">
        <v>39</v>
      </c>
      <c r="I482" s="4">
        <v>3</v>
      </c>
    </row>
    <row r="483" spans="1:9" x14ac:dyDescent="0.25">
      <c r="A483" s="3" t="s">
        <v>58</v>
      </c>
      <c r="B483" s="3" t="s">
        <v>263</v>
      </c>
      <c r="C483" s="3" t="s">
        <v>35</v>
      </c>
      <c r="D483" s="3" t="s">
        <v>36</v>
      </c>
      <c r="E483" s="3" t="s">
        <v>107</v>
      </c>
      <c r="F483" s="3" t="s">
        <v>59</v>
      </c>
      <c r="G483" s="3" t="s">
        <v>263</v>
      </c>
      <c r="H483" s="3" t="s">
        <v>108</v>
      </c>
      <c r="I483" s="4">
        <v>3</v>
      </c>
    </row>
    <row r="484" spans="1:9" x14ac:dyDescent="0.25">
      <c r="A484" s="3" t="s">
        <v>58</v>
      </c>
      <c r="B484" s="3" t="s">
        <v>7</v>
      </c>
      <c r="C484" s="3" t="s">
        <v>35</v>
      </c>
      <c r="D484" s="3" t="s">
        <v>36</v>
      </c>
      <c r="E484" s="3" t="s">
        <v>75</v>
      </c>
      <c r="F484" s="3" t="s">
        <v>59</v>
      </c>
      <c r="G484" s="3" t="s">
        <v>7</v>
      </c>
      <c r="H484" s="3" t="s">
        <v>77</v>
      </c>
      <c r="I484" s="4">
        <v>2</v>
      </c>
    </row>
    <row r="485" spans="1:9" x14ac:dyDescent="0.25">
      <c r="A485" s="3" t="s">
        <v>58</v>
      </c>
      <c r="B485" s="3" t="s">
        <v>4</v>
      </c>
      <c r="C485" s="3" t="s">
        <v>35</v>
      </c>
      <c r="D485" s="3" t="s">
        <v>36</v>
      </c>
      <c r="E485" s="3" t="s">
        <v>53</v>
      </c>
      <c r="F485" s="3" t="s">
        <v>59</v>
      </c>
      <c r="G485" s="3" t="s">
        <v>4</v>
      </c>
      <c r="H485" s="3" t="s">
        <v>55</v>
      </c>
      <c r="I485" s="4">
        <v>1</v>
      </c>
    </row>
    <row r="486" spans="1:9" x14ac:dyDescent="0.25">
      <c r="A486" s="3" t="s">
        <v>58</v>
      </c>
      <c r="B486" s="3" t="s">
        <v>4</v>
      </c>
      <c r="C486" s="3" t="s">
        <v>35</v>
      </c>
      <c r="D486" s="3" t="s">
        <v>36</v>
      </c>
      <c r="E486" s="3" t="s">
        <v>63</v>
      </c>
      <c r="F486" s="3" t="s">
        <v>59</v>
      </c>
      <c r="G486" s="3" t="s">
        <v>4</v>
      </c>
      <c r="H486" s="3" t="s">
        <v>65</v>
      </c>
      <c r="I486" s="4">
        <v>1</v>
      </c>
    </row>
    <row r="487" spans="1:9" x14ac:dyDescent="0.25">
      <c r="A487" s="3" t="s">
        <v>58</v>
      </c>
      <c r="B487" s="3" t="s">
        <v>4</v>
      </c>
      <c r="C487" s="3" t="s">
        <v>35</v>
      </c>
      <c r="D487" s="3" t="s">
        <v>36</v>
      </c>
      <c r="E487" s="3" t="s">
        <v>266</v>
      </c>
      <c r="F487" s="3" t="s">
        <v>59</v>
      </c>
      <c r="G487" s="3" t="s">
        <v>4</v>
      </c>
      <c r="H487" s="3" t="s">
        <v>267</v>
      </c>
      <c r="I487" s="4">
        <v>1</v>
      </c>
    </row>
    <row r="488" spans="1:9" x14ac:dyDescent="0.25">
      <c r="A488" s="3" t="s">
        <v>222</v>
      </c>
      <c r="B488" s="3" t="s">
        <v>4</v>
      </c>
      <c r="C488" s="3" t="s">
        <v>162</v>
      </c>
      <c r="D488" s="3" t="s">
        <v>163</v>
      </c>
      <c r="E488" s="3" t="s">
        <v>75</v>
      </c>
      <c r="F488" s="3" t="s">
        <v>223</v>
      </c>
      <c r="G488" s="3" t="s">
        <v>4</v>
      </c>
      <c r="H488" s="3" t="s">
        <v>77</v>
      </c>
      <c r="I488" s="4">
        <v>1</v>
      </c>
    </row>
    <row r="489" spans="1:9" x14ac:dyDescent="0.25">
      <c r="A489" s="3" t="s">
        <v>222</v>
      </c>
      <c r="B489" s="3" t="s">
        <v>4</v>
      </c>
      <c r="C489" s="3" t="s">
        <v>162</v>
      </c>
      <c r="D489" s="3" t="s">
        <v>163</v>
      </c>
      <c r="E489" s="3" t="s">
        <v>78</v>
      </c>
      <c r="F489" s="3" t="s">
        <v>223</v>
      </c>
      <c r="G489" s="3" t="s">
        <v>4</v>
      </c>
      <c r="H489" s="3" t="s">
        <v>79</v>
      </c>
      <c r="I489" s="4">
        <v>1</v>
      </c>
    </row>
    <row r="490" spans="1:9" x14ac:dyDescent="0.25">
      <c r="A490" s="3" t="s">
        <v>222</v>
      </c>
      <c r="B490" s="3" t="s">
        <v>4</v>
      </c>
      <c r="C490" s="3" t="s">
        <v>162</v>
      </c>
      <c r="D490" s="3" t="s">
        <v>163</v>
      </c>
      <c r="E490" s="3" t="s">
        <v>109</v>
      </c>
      <c r="F490" s="3" t="s">
        <v>223</v>
      </c>
      <c r="G490" s="3" t="s">
        <v>4</v>
      </c>
      <c r="H490" s="3" t="s">
        <v>110</v>
      </c>
      <c r="I490" s="4">
        <v>1</v>
      </c>
    </row>
  </sheetData>
  <autoFilter ref="A1:I490" xr:uid="{A5D2AD59-E4A0-4971-AFFE-505F0D98A61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3882C-BAAF-4BAF-A3F9-0E313D560C55}">
  <dimension ref="A1:K86"/>
  <sheetViews>
    <sheetView workbookViewId="0">
      <selection activeCell="H5" sqref="H5"/>
    </sheetView>
  </sheetViews>
  <sheetFormatPr defaultRowHeight="15" x14ac:dyDescent="0.25"/>
  <cols>
    <col min="1" max="1" width="22.42578125" bestFit="1" customWidth="1"/>
    <col min="2" max="2" width="22" bestFit="1" customWidth="1"/>
    <col min="3" max="3" width="15.28515625" bestFit="1" customWidth="1"/>
    <col min="4" max="4" width="24.85546875" bestFit="1" customWidth="1"/>
    <col min="5" max="5" width="14.42578125" bestFit="1" customWidth="1"/>
    <col min="6" max="6" width="10.85546875" bestFit="1" customWidth="1"/>
    <col min="7" max="7" width="13.85546875" bestFit="1" customWidth="1"/>
    <col min="8" max="8" width="10" customWidth="1"/>
    <col min="9" max="9" width="13.85546875" bestFit="1" customWidth="1"/>
    <col min="10" max="10" width="25.140625" bestFit="1" customWidth="1"/>
    <col min="11" max="11" width="10.5703125" bestFit="1" customWidth="1"/>
  </cols>
  <sheetData>
    <row r="1" spans="1:11" x14ac:dyDescent="0.25">
      <c r="A1" s="3" t="s">
        <v>27</v>
      </c>
      <c r="B1" s="3" t="s">
        <v>264</v>
      </c>
      <c r="C1" s="3" t="s">
        <v>28</v>
      </c>
      <c r="D1" s="3" t="s">
        <v>29</v>
      </c>
      <c r="E1" s="3" t="s">
        <v>30</v>
      </c>
      <c r="F1" s="3" t="s">
        <v>31</v>
      </c>
      <c r="G1" s="3"/>
      <c r="H1" s="3"/>
      <c r="I1" s="3" t="s">
        <v>32</v>
      </c>
      <c r="J1" s="3" t="s">
        <v>33</v>
      </c>
      <c r="K1" s="3" t="s">
        <v>265</v>
      </c>
    </row>
    <row r="2" spans="1:11" x14ac:dyDescent="0.25">
      <c r="A2" s="3" t="s">
        <v>226</v>
      </c>
      <c r="B2" s="3" t="s">
        <v>4</v>
      </c>
      <c r="C2" s="3" t="s">
        <v>162</v>
      </c>
      <c r="D2" s="3" t="s">
        <v>163</v>
      </c>
      <c r="E2" s="3" t="s">
        <v>125</v>
      </c>
      <c r="F2" s="3" t="s">
        <v>227</v>
      </c>
      <c r="G2" s="3" t="s">
        <v>4</v>
      </c>
      <c r="H2" s="3" t="s">
        <v>125</v>
      </c>
      <c r="I2" s="3" t="s">
        <v>4</v>
      </c>
      <c r="J2" s="3" t="s">
        <v>126</v>
      </c>
      <c r="K2" s="4">
        <v>1</v>
      </c>
    </row>
    <row r="3" spans="1:11" x14ac:dyDescent="0.25">
      <c r="A3" s="3" t="s">
        <v>237</v>
      </c>
      <c r="B3" s="3" t="s">
        <v>4</v>
      </c>
      <c r="C3" s="3" t="s">
        <v>191</v>
      </c>
      <c r="D3" s="3" t="s">
        <v>153</v>
      </c>
      <c r="E3" s="3" t="s">
        <v>107</v>
      </c>
      <c r="F3" s="3" t="s">
        <v>238</v>
      </c>
      <c r="G3" s="3" t="s">
        <v>4</v>
      </c>
      <c r="H3" s="3" t="s">
        <v>107</v>
      </c>
      <c r="I3" s="3" t="s">
        <v>4</v>
      </c>
      <c r="J3" s="3" t="s">
        <v>108</v>
      </c>
      <c r="K3" s="4">
        <v>1</v>
      </c>
    </row>
    <row r="4" spans="1:11" x14ac:dyDescent="0.25">
      <c r="A4" s="3" t="s">
        <v>165</v>
      </c>
      <c r="B4" s="3" t="s">
        <v>19</v>
      </c>
      <c r="C4" s="3" t="s">
        <v>145</v>
      </c>
      <c r="D4" s="3" t="s">
        <v>146</v>
      </c>
      <c r="E4" s="3" t="s">
        <v>72</v>
      </c>
      <c r="F4" s="3" t="s">
        <v>166</v>
      </c>
      <c r="G4" s="3" t="s">
        <v>19</v>
      </c>
      <c r="H4" s="3" t="s">
        <v>72</v>
      </c>
      <c r="I4" s="3" t="s">
        <v>19</v>
      </c>
      <c r="J4" s="3" t="s">
        <v>73</v>
      </c>
      <c r="K4" s="4">
        <v>6</v>
      </c>
    </row>
    <row r="5" spans="1:11" x14ac:dyDescent="0.25">
      <c r="A5" s="3" t="s">
        <v>197</v>
      </c>
      <c r="B5" s="3" t="s">
        <v>7</v>
      </c>
      <c r="C5" s="3" t="s">
        <v>198</v>
      </c>
      <c r="D5" s="3" t="s">
        <v>153</v>
      </c>
      <c r="E5" s="3" t="s">
        <v>85</v>
      </c>
      <c r="F5" s="3" t="s">
        <v>199</v>
      </c>
      <c r="G5" s="3" t="s">
        <v>7</v>
      </c>
      <c r="H5" s="3" t="s">
        <v>85</v>
      </c>
      <c r="I5" s="3" t="s">
        <v>7</v>
      </c>
      <c r="J5" s="3" t="s">
        <v>87</v>
      </c>
      <c r="K5" s="4">
        <v>2</v>
      </c>
    </row>
    <row r="6" spans="1:11" x14ac:dyDescent="0.25">
      <c r="A6" s="3" t="s">
        <v>74</v>
      </c>
      <c r="B6" s="3" t="s">
        <v>272</v>
      </c>
      <c r="C6" s="3" t="s">
        <v>35</v>
      </c>
      <c r="D6" s="3" t="s">
        <v>36</v>
      </c>
      <c r="E6" s="3" t="s">
        <v>268</v>
      </c>
      <c r="F6" s="3" t="s">
        <v>76</v>
      </c>
      <c r="G6" s="3" t="s">
        <v>272</v>
      </c>
      <c r="H6" s="3" t="s">
        <v>268</v>
      </c>
      <c r="I6" s="3" t="s">
        <v>140</v>
      </c>
      <c r="J6" s="3" t="s">
        <v>269</v>
      </c>
      <c r="K6" s="4">
        <v>4</v>
      </c>
    </row>
    <row r="7" spans="1:11" x14ac:dyDescent="0.25">
      <c r="A7" s="3" t="s">
        <v>70</v>
      </c>
      <c r="B7" s="3" t="s">
        <v>272</v>
      </c>
      <c r="C7" s="3" t="s">
        <v>35</v>
      </c>
      <c r="D7" s="3" t="s">
        <v>36</v>
      </c>
      <c r="E7" s="3" t="s">
        <v>81</v>
      </c>
      <c r="F7" s="3" t="s">
        <v>71</v>
      </c>
      <c r="G7" s="3" t="s">
        <v>272</v>
      </c>
      <c r="H7" s="3" t="s">
        <v>81</v>
      </c>
      <c r="I7" s="3" t="s">
        <v>140</v>
      </c>
      <c r="J7" s="3" t="s">
        <v>83</v>
      </c>
      <c r="K7" s="4">
        <v>4</v>
      </c>
    </row>
    <row r="8" spans="1:11" x14ac:dyDescent="0.25">
      <c r="A8" s="3" t="s">
        <v>50</v>
      </c>
      <c r="B8" s="3" t="s">
        <v>271</v>
      </c>
      <c r="C8" s="3" t="s">
        <v>35</v>
      </c>
      <c r="D8" s="3" t="s">
        <v>36</v>
      </c>
      <c r="E8" s="3" t="s">
        <v>98</v>
      </c>
      <c r="F8" s="3" t="s">
        <v>51</v>
      </c>
      <c r="G8" s="3" t="s">
        <v>271</v>
      </c>
      <c r="H8" s="3" t="s">
        <v>98</v>
      </c>
      <c r="I8" s="3" t="s">
        <v>140</v>
      </c>
      <c r="J8" s="3" t="s">
        <v>100</v>
      </c>
      <c r="K8" s="4">
        <v>4</v>
      </c>
    </row>
    <row r="9" spans="1:11" x14ac:dyDescent="0.25">
      <c r="A9" s="3" t="s">
        <v>117</v>
      </c>
      <c r="B9" s="3" t="s">
        <v>4</v>
      </c>
      <c r="C9" s="3" t="s">
        <v>35</v>
      </c>
      <c r="D9" s="3" t="s">
        <v>36</v>
      </c>
      <c r="E9" s="3" t="s">
        <v>114</v>
      </c>
      <c r="F9" s="3" t="s">
        <v>118</v>
      </c>
      <c r="G9" s="3" t="s">
        <v>4</v>
      </c>
      <c r="H9" s="3" t="s">
        <v>114</v>
      </c>
      <c r="I9" s="3" t="s">
        <v>4</v>
      </c>
      <c r="J9" s="3" t="s">
        <v>116</v>
      </c>
      <c r="K9" s="4">
        <v>1</v>
      </c>
    </row>
    <row r="10" spans="1:11" x14ac:dyDescent="0.25">
      <c r="A10" s="3" t="s">
        <v>239</v>
      </c>
      <c r="B10" s="3" t="s">
        <v>4</v>
      </c>
      <c r="C10" s="3" t="s">
        <v>145</v>
      </c>
      <c r="D10" s="3" t="s">
        <v>146</v>
      </c>
      <c r="E10" s="3" t="s">
        <v>98</v>
      </c>
      <c r="F10" s="3" t="s">
        <v>240</v>
      </c>
      <c r="G10" s="3" t="s">
        <v>4</v>
      </c>
      <c r="H10" s="3" t="s">
        <v>98</v>
      </c>
      <c r="I10" s="3" t="s">
        <v>4</v>
      </c>
      <c r="J10" s="3" t="s">
        <v>100</v>
      </c>
      <c r="K10" s="4">
        <v>1</v>
      </c>
    </row>
    <row r="11" spans="1:11" x14ac:dyDescent="0.25">
      <c r="A11" s="3" t="s">
        <v>25</v>
      </c>
      <c r="B11" s="3" t="s">
        <v>19</v>
      </c>
      <c r="C11" s="3" t="s">
        <v>145</v>
      </c>
      <c r="D11" s="3" t="s">
        <v>146</v>
      </c>
      <c r="E11" s="3" t="s">
        <v>98</v>
      </c>
      <c r="F11" s="3" t="s">
        <v>147</v>
      </c>
      <c r="G11" s="3" t="s">
        <v>19</v>
      </c>
      <c r="H11" s="3" t="s">
        <v>98</v>
      </c>
      <c r="I11" s="3" t="s">
        <v>19</v>
      </c>
      <c r="J11" s="3" t="s">
        <v>100</v>
      </c>
      <c r="K11" s="4">
        <v>6</v>
      </c>
    </row>
    <row r="12" spans="1:11" x14ac:dyDescent="0.25">
      <c r="A12" s="3" t="s">
        <v>251</v>
      </c>
      <c r="B12" s="3" t="s">
        <v>4</v>
      </c>
      <c r="C12" s="3" t="s">
        <v>170</v>
      </c>
      <c r="D12" s="3" t="s">
        <v>171</v>
      </c>
      <c r="E12" s="3" t="s">
        <v>85</v>
      </c>
      <c r="F12" s="3" t="s">
        <v>252</v>
      </c>
      <c r="G12" s="3" t="s">
        <v>4</v>
      </c>
      <c r="H12" s="3" t="s">
        <v>85</v>
      </c>
      <c r="I12" s="3" t="s">
        <v>4</v>
      </c>
      <c r="J12" s="3" t="s">
        <v>87</v>
      </c>
      <c r="K12" s="4">
        <v>1</v>
      </c>
    </row>
    <row r="13" spans="1:11" x14ac:dyDescent="0.25">
      <c r="A13" s="3" t="s">
        <v>103</v>
      </c>
      <c r="B13" s="3" t="s">
        <v>263</v>
      </c>
      <c r="C13" s="3" t="s">
        <v>35</v>
      </c>
      <c r="D13" s="3" t="s">
        <v>36</v>
      </c>
      <c r="E13" s="3" t="s">
        <v>268</v>
      </c>
      <c r="F13" s="3" t="s">
        <v>104</v>
      </c>
      <c r="G13" s="3" t="s">
        <v>263</v>
      </c>
      <c r="H13" s="3" t="s">
        <v>268</v>
      </c>
      <c r="I13" s="3" t="s">
        <v>263</v>
      </c>
      <c r="J13" s="3" t="s">
        <v>269</v>
      </c>
      <c r="K13" s="4">
        <v>3</v>
      </c>
    </row>
    <row r="14" spans="1:11" x14ac:dyDescent="0.25">
      <c r="A14" s="3" t="s">
        <v>159</v>
      </c>
      <c r="B14" s="3" t="s">
        <v>272</v>
      </c>
      <c r="C14" s="3" t="s">
        <v>145</v>
      </c>
      <c r="D14" s="3" t="s">
        <v>146</v>
      </c>
      <c r="E14" s="3" t="s">
        <v>89</v>
      </c>
      <c r="F14" s="3" t="s">
        <v>160</v>
      </c>
      <c r="G14" s="3" t="s">
        <v>272</v>
      </c>
      <c r="H14" s="3" t="s">
        <v>89</v>
      </c>
      <c r="I14" s="3" t="s">
        <v>140</v>
      </c>
      <c r="J14" s="3" t="s">
        <v>90</v>
      </c>
      <c r="K14" s="4">
        <v>4</v>
      </c>
    </row>
    <row r="15" spans="1:11" x14ac:dyDescent="0.25">
      <c r="A15" s="3" t="s">
        <v>255</v>
      </c>
      <c r="B15" s="3" t="s">
        <v>4</v>
      </c>
      <c r="C15" s="3" t="s">
        <v>152</v>
      </c>
      <c r="D15" s="3" t="s">
        <v>153</v>
      </c>
      <c r="E15" s="3" t="s">
        <v>109</v>
      </c>
      <c r="F15" s="3" t="s">
        <v>256</v>
      </c>
      <c r="G15" s="3" t="s">
        <v>4</v>
      </c>
      <c r="H15" s="3" t="s">
        <v>109</v>
      </c>
      <c r="I15" s="3" t="s">
        <v>4</v>
      </c>
      <c r="J15" s="3" t="s">
        <v>110</v>
      </c>
      <c r="K15" s="4">
        <v>1</v>
      </c>
    </row>
    <row r="16" spans="1:11" x14ac:dyDescent="0.25">
      <c r="A16" s="3" t="s">
        <v>243</v>
      </c>
      <c r="B16" s="3" t="s">
        <v>4</v>
      </c>
      <c r="C16" s="3" t="s">
        <v>162</v>
      </c>
      <c r="D16" s="3" t="s">
        <v>163</v>
      </c>
      <c r="E16" s="3" t="s">
        <v>125</v>
      </c>
      <c r="F16" s="3" t="s">
        <v>244</v>
      </c>
      <c r="G16" s="3" t="s">
        <v>4</v>
      </c>
      <c r="H16" s="3" t="s">
        <v>125</v>
      </c>
      <c r="I16" s="3" t="s">
        <v>4</v>
      </c>
      <c r="J16" s="3" t="s">
        <v>126</v>
      </c>
      <c r="K16" s="4">
        <v>1</v>
      </c>
    </row>
    <row r="17" spans="1:11" x14ac:dyDescent="0.25">
      <c r="A17" s="3" t="s">
        <v>185</v>
      </c>
      <c r="B17" s="3" t="s">
        <v>263</v>
      </c>
      <c r="C17" s="3" t="s">
        <v>162</v>
      </c>
      <c r="D17" s="3" t="s">
        <v>163</v>
      </c>
      <c r="E17" s="3" t="s">
        <v>107</v>
      </c>
      <c r="F17" s="3" t="s">
        <v>186</v>
      </c>
      <c r="G17" s="3" t="s">
        <v>263</v>
      </c>
      <c r="H17" s="3" t="s">
        <v>107</v>
      </c>
      <c r="I17" s="3" t="s">
        <v>263</v>
      </c>
      <c r="J17" s="3" t="s">
        <v>108</v>
      </c>
      <c r="K17" s="4">
        <v>3</v>
      </c>
    </row>
    <row r="18" spans="1:11" x14ac:dyDescent="0.25">
      <c r="A18" s="3" t="s">
        <v>253</v>
      </c>
      <c r="B18" s="3" t="s">
        <v>4</v>
      </c>
      <c r="C18" s="3" t="s">
        <v>162</v>
      </c>
      <c r="D18" s="3" t="s">
        <v>163</v>
      </c>
      <c r="E18" s="3" t="s">
        <v>53</v>
      </c>
      <c r="F18" s="3" t="s">
        <v>254</v>
      </c>
      <c r="G18" s="3" t="s">
        <v>4</v>
      </c>
      <c r="H18" s="3" t="s">
        <v>53</v>
      </c>
      <c r="I18" s="3" t="s">
        <v>4</v>
      </c>
      <c r="J18" s="3" t="s">
        <v>55</v>
      </c>
      <c r="K18" s="4">
        <v>1</v>
      </c>
    </row>
    <row r="19" spans="1:11" x14ac:dyDescent="0.25">
      <c r="A19" s="3" t="s">
        <v>175</v>
      </c>
      <c r="B19" s="3" t="s">
        <v>263</v>
      </c>
      <c r="C19" s="3" t="s">
        <v>145</v>
      </c>
      <c r="D19" s="3" t="s">
        <v>146</v>
      </c>
      <c r="E19" s="3" t="s">
        <v>114</v>
      </c>
      <c r="F19" s="3" t="s">
        <v>176</v>
      </c>
      <c r="G19" s="3" t="s">
        <v>263</v>
      </c>
      <c r="H19" s="3" t="s">
        <v>114</v>
      </c>
      <c r="I19" s="3" t="s">
        <v>263</v>
      </c>
      <c r="J19" s="3" t="s">
        <v>116</v>
      </c>
      <c r="K19" s="4">
        <v>3</v>
      </c>
    </row>
    <row r="20" spans="1:11" x14ac:dyDescent="0.25">
      <c r="A20" s="3" t="s">
        <v>187</v>
      </c>
      <c r="B20" s="3" t="s">
        <v>263</v>
      </c>
      <c r="C20" s="3" t="s">
        <v>188</v>
      </c>
      <c r="D20" s="3" t="s">
        <v>171</v>
      </c>
      <c r="E20" s="3" t="s">
        <v>114</v>
      </c>
      <c r="F20" s="3" t="s">
        <v>189</v>
      </c>
      <c r="G20" s="3" t="s">
        <v>263</v>
      </c>
      <c r="H20" s="3" t="s">
        <v>114</v>
      </c>
      <c r="I20" s="3" t="s">
        <v>263</v>
      </c>
      <c r="J20" s="3" t="s">
        <v>116</v>
      </c>
      <c r="K20" s="4">
        <v>3</v>
      </c>
    </row>
    <row r="21" spans="1:11" x14ac:dyDescent="0.25">
      <c r="A21" s="3" t="s">
        <v>66</v>
      </c>
      <c r="B21" s="3" t="s">
        <v>270</v>
      </c>
      <c r="C21" s="3" t="s">
        <v>35</v>
      </c>
      <c r="D21" s="3" t="s">
        <v>36</v>
      </c>
      <c r="E21" s="3" t="s">
        <v>89</v>
      </c>
      <c r="F21" s="3" t="s">
        <v>67</v>
      </c>
      <c r="G21" s="3" t="s">
        <v>270</v>
      </c>
      <c r="H21" s="3" t="s">
        <v>89</v>
      </c>
      <c r="I21" s="3" t="s">
        <v>16</v>
      </c>
      <c r="J21" s="3" t="s">
        <v>90</v>
      </c>
      <c r="K21" s="4">
        <v>5</v>
      </c>
    </row>
    <row r="22" spans="1:11" x14ac:dyDescent="0.25">
      <c r="A22" s="3" t="s">
        <v>206</v>
      </c>
      <c r="B22" s="3" t="s">
        <v>263</v>
      </c>
      <c r="C22" s="3" t="s">
        <v>207</v>
      </c>
      <c r="D22" s="3" t="s">
        <v>171</v>
      </c>
      <c r="E22" s="3" t="s">
        <v>143</v>
      </c>
      <c r="F22" s="3" t="s">
        <v>208</v>
      </c>
      <c r="G22" s="3" t="s">
        <v>263</v>
      </c>
      <c r="H22" s="3" t="s">
        <v>143</v>
      </c>
      <c r="I22" s="3" t="s">
        <v>263</v>
      </c>
      <c r="J22" s="3" t="s">
        <v>144</v>
      </c>
      <c r="K22" s="4">
        <v>3</v>
      </c>
    </row>
    <row r="23" spans="1:11" x14ac:dyDescent="0.25">
      <c r="A23" s="3" t="s">
        <v>129</v>
      </c>
      <c r="B23" s="3" t="s">
        <v>4</v>
      </c>
      <c r="C23" s="3" t="s">
        <v>35</v>
      </c>
      <c r="D23" s="3" t="s">
        <v>36</v>
      </c>
      <c r="E23" s="3" t="s">
        <v>125</v>
      </c>
      <c r="F23" s="3" t="s">
        <v>130</v>
      </c>
      <c r="G23" s="3" t="s">
        <v>4</v>
      </c>
      <c r="H23" s="3" t="s">
        <v>125</v>
      </c>
      <c r="I23" s="3" t="s">
        <v>4</v>
      </c>
      <c r="J23" s="3" t="s">
        <v>126</v>
      </c>
      <c r="K23" s="4">
        <v>1</v>
      </c>
    </row>
    <row r="24" spans="1:11" x14ac:dyDescent="0.25">
      <c r="A24" s="3" t="s">
        <v>52</v>
      </c>
      <c r="B24" s="3" t="s">
        <v>4</v>
      </c>
      <c r="C24" s="3" t="s">
        <v>35</v>
      </c>
      <c r="D24" s="3" t="s">
        <v>36</v>
      </c>
      <c r="E24" s="3" t="s">
        <v>53</v>
      </c>
      <c r="F24" s="3" t="s">
        <v>54</v>
      </c>
      <c r="G24" s="3" t="s">
        <v>4</v>
      </c>
      <c r="H24" s="3" t="s">
        <v>53</v>
      </c>
      <c r="I24" s="3" t="s">
        <v>4</v>
      </c>
      <c r="J24" s="3" t="s">
        <v>55</v>
      </c>
      <c r="K24" s="4">
        <v>1</v>
      </c>
    </row>
    <row r="25" spans="1:11" x14ac:dyDescent="0.25">
      <c r="A25" s="3" t="s">
        <v>131</v>
      </c>
      <c r="B25" s="3" t="s">
        <v>4</v>
      </c>
      <c r="C25" s="3" t="s">
        <v>35</v>
      </c>
      <c r="D25" s="3" t="s">
        <v>36</v>
      </c>
      <c r="E25" s="3" t="s">
        <v>60</v>
      </c>
      <c r="F25" s="3" t="s">
        <v>261</v>
      </c>
      <c r="G25" s="3" t="s">
        <v>4</v>
      </c>
      <c r="H25" s="3" t="s">
        <v>60</v>
      </c>
      <c r="I25" s="3" t="s">
        <v>4</v>
      </c>
      <c r="J25" s="3" t="s">
        <v>61</v>
      </c>
      <c r="K25" s="4">
        <v>1</v>
      </c>
    </row>
    <row r="26" spans="1:11" x14ac:dyDescent="0.25">
      <c r="A26" s="3" t="s">
        <v>26</v>
      </c>
      <c r="B26" s="3" t="s">
        <v>19</v>
      </c>
      <c r="C26" s="3" t="s">
        <v>35</v>
      </c>
      <c r="D26" s="3" t="s">
        <v>36</v>
      </c>
      <c r="E26" s="3" t="s">
        <v>114</v>
      </c>
      <c r="F26" s="3" t="s">
        <v>88</v>
      </c>
      <c r="G26" s="3" t="s">
        <v>19</v>
      </c>
      <c r="H26" s="3" t="s">
        <v>114</v>
      </c>
      <c r="I26" s="3" t="s">
        <v>19</v>
      </c>
      <c r="J26" s="3" t="s">
        <v>116</v>
      </c>
      <c r="K26" s="4">
        <v>6</v>
      </c>
    </row>
    <row r="27" spans="1:11" x14ac:dyDescent="0.25">
      <c r="A27" s="3" t="s">
        <v>111</v>
      </c>
      <c r="B27" s="3" t="s">
        <v>263</v>
      </c>
      <c r="C27" s="3" t="s">
        <v>35</v>
      </c>
      <c r="D27" s="3" t="s">
        <v>36</v>
      </c>
      <c r="E27" s="3" t="s">
        <v>75</v>
      </c>
      <c r="F27" s="3" t="s">
        <v>112</v>
      </c>
      <c r="G27" s="3" t="s">
        <v>263</v>
      </c>
      <c r="H27" s="3" t="s">
        <v>75</v>
      </c>
      <c r="I27" s="3" t="s">
        <v>263</v>
      </c>
      <c r="J27" s="3" t="s">
        <v>77</v>
      </c>
      <c r="K27" s="4">
        <v>3</v>
      </c>
    </row>
    <row r="28" spans="1:11" x14ac:dyDescent="0.25">
      <c r="A28" s="3" t="s">
        <v>183</v>
      </c>
      <c r="B28" s="3" t="s">
        <v>7</v>
      </c>
      <c r="C28" s="3" t="s">
        <v>162</v>
      </c>
      <c r="D28" s="3" t="s">
        <v>163</v>
      </c>
      <c r="E28" s="3" t="s">
        <v>114</v>
      </c>
      <c r="F28" s="3" t="s">
        <v>184</v>
      </c>
      <c r="G28" s="3" t="s">
        <v>7</v>
      </c>
      <c r="H28" s="3" t="s">
        <v>114</v>
      </c>
      <c r="I28" s="3" t="s">
        <v>7</v>
      </c>
      <c r="J28" s="3" t="s">
        <v>116</v>
      </c>
      <c r="K28" s="4">
        <v>2</v>
      </c>
    </row>
    <row r="29" spans="1:11" x14ac:dyDescent="0.25">
      <c r="A29" s="3" t="s">
        <v>202</v>
      </c>
      <c r="B29" s="3" t="s">
        <v>7</v>
      </c>
      <c r="C29" s="3" t="s">
        <v>145</v>
      </c>
      <c r="D29" s="3" t="s">
        <v>146</v>
      </c>
      <c r="E29" s="3" t="s">
        <v>125</v>
      </c>
      <c r="F29" s="3" t="s">
        <v>203</v>
      </c>
      <c r="G29" s="3" t="s">
        <v>7</v>
      </c>
      <c r="H29" s="3" t="s">
        <v>125</v>
      </c>
      <c r="I29" s="3" t="s">
        <v>7</v>
      </c>
      <c r="J29" s="3" t="s">
        <v>126</v>
      </c>
      <c r="K29" s="4">
        <v>2</v>
      </c>
    </row>
    <row r="30" spans="1:11" x14ac:dyDescent="0.25">
      <c r="A30" s="3" t="s">
        <v>209</v>
      </c>
      <c r="B30" s="3" t="s">
        <v>7</v>
      </c>
      <c r="C30" s="3" t="s">
        <v>162</v>
      </c>
      <c r="D30" s="3" t="s">
        <v>163</v>
      </c>
      <c r="E30" s="3" t="s">
        <v>141</v>
      </c>
      <c r="F30" s="3" t="s">
        <v>210</v>
      </c>
      <c r="G30" s="3" t="s">
        <v>7</v>
      </c>
      <c r="H30" s="3" t="s">
        <v>141</v>
      </c>
      <c r="I30" s="3" t="s">
        <v>7</v>
      </c>
      <c r="J30" s="3" t="s">
        <v>142</v>
      </c>
      <c r="K30" s="4">
        <v>2</v>
      </c>
    </row>
    <row r="31" spans="1:11" x14ac:dyDescent="0.25">
      <c r="A31" s="3" t="s">
        <v>93</v>
      </c>
      <c r="B31" s="3" t="s">
        <v>19</v>
      </c>
      <c r="C31" s="3" t="s">
        <v>35</v>
      </c>
      <c r="D31" s="3" t="s">
        <v>36</v>
      </c>
      <c r="E31" s="3" t="s">
        <v>43</v>
      </c>
      <c r="F31" s="3" t="s">
        <v>94</v>
      </c>
      <c r="G31" s="3" t="s">
        <v>19</v>
      </c>
      <c r="H31" s="3" t="s">
        <v>43</v>
      </c>
      <c r="I31" s="3" t="s">
        <v>19</v>
      </c>
      <c r="J31" s="3" t="s">
        <v>45</v>
      </c>
      <c r="K31" s="4">
        <v>6</v>
      </c>
    </row>
    <row r="32" spans="1:11" x14ac:dyDescent="0.25">
      <c r="A32" s="3" t="s">
        <v>62</v>
      </c>
      <c r="B32" s="3" t="s">
        <v>19</v>
      </c>
      <c r="C32" s="3" t="s">
        <v>35</v>
      </c>
      <c r="D32" s="3" t="s">
        <v>36</v>
      </c>
      <c r="E32" s="3" t="s">
        <v>78</v>
      </c>
      <c r="F32" s="3" t="s">
        <v>64</v>
      </c>
      <c r="G32" s="3" t="s">
        <v>19</v>
      </c>
      <c r="H32" s="3" t="s">
        <v>78</v>
      </c>
      <c r="I32" s="3" t="s">
        <v>19</v>
      </c>
      <c r="J32" s="3" t="s">
        <v>79</v>
      </c>
      <c r="K32" s="4">
        <v>6</v>
      </c>
    </row>
    <row r="33" spans="1:11" x14ac:dyDescent="0.25">
      <c r="A33" s="3" t="s">
        <v>42</v>
      </c>
      <c r="B33" s="3" t="s">
        <v>19</v>
      </c>
      <c r="C33" s="3" t="s">
        <v>35</v>
      </c>
      <c r="D33" s="3" t="s">
        <v>36</v>
      </c>
      <c r="E33" s="3" t="s">
        <v>81</v>
      </c>
      <c r="F33" s="3" t="s">
        <v>44</v>
      </c>
      <c r="G33" s="3" t="s">
        <v>19</v>
      </c>
      <c r="H33" s="3" t="s">
        <v>81</v>
      </c>
      <c r="I33" s="3" t="s">
        <v>19</v>
      </c>
      <c r="J33" s="3" t="s">
        <v>83</v>
      </c>
      <c r="K33" s="4">
        <v>6</v>
      </c>
    </row>
    <row r="34" spans="1:11" x14ac:dyDescent="0.25">
      <c r="A34" s="3" t="s">
        <v>181</v>
      </c>
      <c r="B34" s="3" t="s">
        <v>263</v>
      </c>
      <c r="C34" s="3" t="s">
        <v>162</v>
      </c>
      <c r="D34" s="3" t="s">
        <v>163</v>
      </c>
      <c r="E34" s="3" t="s">
        <v>78</v>
      </c>
      <c r="F34" s="3" t="s">
        <v>182</v>
      </c>
      <c r="G34" s="3" t="s">
        <v>263</v>
      </c>
      <c r="H34" s="3" t="s">
        <v>78</v>
      </c>
      <c r="I34" s="3" t="s">
        <v>263</v>
      </c>
      <c r="J34" s="3" t="s">
        <v>79</v>
      </c>
      <c r="K34" s="4">
        <v>3</v>
      </c>
    </row>
    <row r="35" spans="1:11" x14ac:dyDescent="0.25">
      <c r="A35" s="3" t="s">
        <v>123</v>
      </c>
      <c r="B35" s="3" t="s">
        <v>7</v>
      </c>
      <c r="C35" s="3" t="s">
        <v>35</v>
      </c>
      <c r="D35" s="3" t="s">
        <v>36</v>
      </c>
      <c r="E35" s="3" t="s">
        <v>114</v>
      </c>
      <c r="F35" s="3" t="s">
        <v>124</v>
      </c>
      <c r="G35" s="3" t="s">
        <v>7</v>
      </c>
      <c r="H35" s="3" t="s">
        <v>114</v>
      </c>
      <c r="I35" s="3" t="s">
        <v>7</v>
      </c>
      <c r="J35" s="3" t="s">
        <v>116</v>
      </c>
      <c r="K35" s="4">
        <v>2</v>
      </c>
    </row>
    <row r="36" spans="1:11" x14ac:dyDescent="0.25">
      <c r="A36" s="3" t="s">
        <v>218</v>
      </c>
      <c r="B36" s="3" t="s">
        <v>4</v>
      </c>
      <c r="C36" s="3" t="s">
        <v>188</v>
      </c>
      <c r="D36" s="3" t="s">
        <v>171</v>
      </c>
      <c r="E36" s="3" t="s">
        <v>63</v>
      </c>
      <c r="F36" s="3" t="s">
        <v>219</v>
      </c>
      <c r="G36" s="3" t="s">
        <v>4</v>
      </c>
      <c r="H36" s="3" t="s">
        <v>63</v>
      </c>
      <c r="I36" s="3" t="s">
        <v>4</v>
      </c>
      <c r="J36" s="3" t="s">
        <v>65</v>
      </c>
      <c r="K36" s="4">
        <v>1</v>
      </c>
    </row>
    <row r="37" spans="1:11" x14ac:dyDescent="0.25">
      <c r="A37" s="3" t="s">
        <v>113</v>
      </c>
      <c r="B37" s="3" t="s">
        <v>270</v>
      </c>
      <c r="C37" s="3" t="s">
        <v>35</v>
      </c>
      <c r="D37" s="3" t="s">
        <v>36</v>
      </c>
      <c r="E37" s="3" t="s">
        <v>81</v>
      </c>
      <c r="F37" s="3" t="s">
        <v>115</v>
      </c>
      <c r="G37" s="3" t="s">
        <v>270</v>
      </c>
      <c r="H37" s="3" t="s">
        <v>81</v>
      </c>
      <c r="I37" s="3" t="s">
        <v>16</v>
      </c>
      <c r="J37" s="3" t="s">
        <v>83</v>
      </c>
      <c r="K37" s="4">
        <v>5</v>
      </c>
    </row>
    <row r="38" spans="1:11" x14ac:dyDescent="0.25">
      <c r="A38" s="3" t="s">
        <v>231</v>
      </c>
      <c r="B38" s="3" t="s">
        <v>4</v>
      </c>
      <c r="C38" s="3" t="s">
        <v>207</v>
      </c>
      <c r="D38" s="3" t="s">
        <v>171</v>
      </c>
      <c r="E38" s="3" t="s">
        <v>53</v>
      </c>
      <c r="F38" s="3" t="s">
        <v>232</v>
      </c>
      <c r="G38" s="3" t="s">
        <v>4</v>
      </c>
      <c r="H38" s="3" t="s">
        <v>53</v>
      </c>
      <c r="I38" s="3" t="s">
        <v>4</v>
      </c>
      <c r="J38" s="3" t="s">
        <v>55</v>
      </c>
      <c r="K38" s="4">
        <v>1</v>
      </c>
    </row>
    <row r="39" spans="1:11" x14ac:dyDescent="0.25">
      <c r="A39" s="3" t="s">
        <v>40</v>
      </c>
      <c r="B39" s="3" t="s">
        <v>270</v>
      </c>
      <c r="C39" s="3" t="s">
        <v>35</v>
      </c>
      <c r="D39" s="3" t="s">
        <v>36</v>
      </c>
      <c r="E39" s="3" t="s">
        <v>268</v>
      </c>
      <c r="F39" s="3" t="s">
        <v>41</v>
      </c>
      <c r="G39" s="3" t="s">
        <v>270</v>
      </c>
      <c r="H39" s="3" t="s">
        <v>268</v>
      </c>
      <c r="I39" s="3" t="s">
        <v>16</v>
      </c>
      <c r="J39" s="3" t="s">
        <v>269</v>
      </c>
      <c r="K39" s="4">
        <v>5</v>
      </c>
    </row>
    <row r="40" spans="1:11" x14ac:dyDescent="0.25">
      <c r="A40" s="3" t="s">
        <v>211</v>
      </c>
      <c r="B40" s="3" t="s">
        <v>7</v>
      </c>
      <c r="C40" s="3" t="s">
        <v>212</v>
      </c>
      <c r="D40" s="3" t="s">
        <v>153</v>
      </c>
      <c r="E40" s="3" t="s">
        <v>143</v>
      </c>
      <c r="F40" s="3" t="s">
        <v>213</v>
      </c>
      <c r="G40" s="3" t="s">
        <v>7</v>
      </c>
      <c r="H40" s="3" t="s">
        <v>143</v>
      </c>
      <c r="I40" s="3" t="s">
        <v>7</v>
      </c>
      <c r="J40" s="3" t="s">
        <v>144</v>
      </c>
      <c r="K40" s="4">
        <v>2</v>
      </c>
    </row>
    <row r="41" spans="1:11" x14ac:dyDescent="0.25">
      <c r="A41" s="3" t="s">
        <v>132</v>
      </c>
      <c r="B41" s="3" t="s">
        <v>263</v>
      </c>
      <c r="C41" s="3" t="s">
        <v>35</v>
      </c>
      <c r="D41" s="3" t="s">
        <v>36</v>
      </c>
      <c r="E41" s="3" t="s">
        <v>107</v>
      </c>
      <c r="F41" s="3" t="s">
        <v>133</v>
      </c>
      <c r="G41" s="3" t="s">
        <v>263</v>
      </c>
      <c r="H41" s="3" t="s">
        <v>107</v>
      </c>
      <c r="I41" s="3" t="s">
        <v>263</v>
      </c>
      <c r="J41" s="3" t="s">
        <v>108</v>
      </c>
      <c r="K41" s="4">
        <v>3</v>
      </c>
    </row>
    <row r="42" spans="1:11" x14ac:dyDescent="0.25">
      <c r="A42" s="3" t="s">
        <v>216</v>
      </c>
      <c r="B42" s="3" t="s">
        <v>4</v>
      </c>
      <c r="C42" s="3" t="s">
        <v>191</v>
      </c>
      <c r="D42" s="3" t="s">
        <v>153</v>
      </c>
      <c r="E42" s="3" t="s">
        <v>60</v>
      </c>
      <c r="F42" s="3" t="s">
        <v>217</v>
      </c>
      <c r="G42" s="3" t="s">
        <v>4</v>
      </c>
      <c r="H42" s="3" t="s">
        <v>60</v>
      </c>
      <c r="I42" s="3" t="s">
        <v>4</v>
      </c>
      <c r="J42" s="3" t="s">
        <v>61</v>
      </c>
      <c r="K42" s="4">
        <v>1</v>
      </c>
    </row>
    <row r="43" spans="1:11" x14ac:dyDescent="0.25">
      <c r="A43" s="3" t="s">
        <v>235</v>
      </c>
      <c r="B43" s="3" t="s">
        <v>4</v>
      </c>
      <c r="C43" s="3" t="s">
        <v>191</v>
      </c>
      <c r="D43" s="3" t="s">
        <v>153</v>
      </c>
      <c r="E43" s="3" t="s">
        <v>72</v>
      </c>
      <c r="F43" s="3" t="s">
        <v>236</v>
      </c>
      <c r="G43" s="3" t="s">
        <v>4</v>
      </c>
      <c r="H43" s="3" t="s">
        <v>72</v>
      </c>
      <c r="I43" s="3" t="s">
        <v>4</v>
      </c>
      <c r="J43" s="3" t="s">
        <v>73</v>
      </c>
      <c r="K43" s="4">
        <v>1</v>
      </c>
    </row>
    <row r="44" spans="1:11" x14ac:dyDescent="0.25">
      <c r="A44" s="3" t="s">
        <v>80</v>
      </c>
      <c r="B44" s="3" t="s">
        <v>4</v>
      </c>
      <c r="C44" s="3" t="s">
        <v>35</v>
      </c>
      <c r="D44" s="3" t="s">
        <v>36</v>
      </c>
      <c r="E44" s="3" t="s">
        <v>81</v>
      </c>
      <c r="F44" s="3" t="s">
        <v>82</v>
      </c>
      <c r="G44" s="3" t="s">
        <v>4</v>
      </c>
      <c r="H44" s="3" t="s">
        <v>81</v>
      </c>
      <c r="I44" s="3" t="s">
        <v>4</v>
      </c>
      <c r="J44" s="3" t="s">
        <v>83</v>
      </c>
      <c r="K44" s="4">
        <v>1</v>
      </c>
    </row>
    <row r="45" spans="1:11" x14ac:dyDescent="0.25">
      <c r="A45" s="3" t="s">
        <v>214</v>
      </c>
      <c r="B45" s="3" t="s">
        <v>4</v>
      </c>
      <c r="C45" s="3" t="s">
        <v>191</v>
      </c>
      <c r="D45" s="3" t="s">
        <v>36</v>
      </c>
      <c r="E45" s="3" t="s">
        <v>47</v>
      </c>
      <c r="F45" s="3" t="s">
        <v>215</v>
      </c>
      <c r="G45" s="3" t="s">
        <v>4</v>
      </c>
      <c r="H45" s="3" t="s">
        <v>47</v>
      </c>
      <c r="I45" s="3" t="s">
        <v>4</v>
      </c>
      <c r="J45" s="3" t="s">
        <v>49</v>
      </c>
      <c r="K45" s="4">
        <v>1</v>
      </c>
    </row>
    <row r="46" spans="1:11" x14ac:dyDescent="0.25">
      <c r="A46" s="3" t="s">
        <v>56</v>
      </c>
      <c r="B46" s="3" t="s">
        <v>19</v>
      </c>
      <c r="C46" s="3" t="s">
        <v>35</v>
      </c>
      <c r="D46" s="3" t="s">
        <v>36</v>
      </c>
      <c r="E46" s="3" t="s">
        <v>63</v>
      </c>
      <c r="F46" s="3" t="s">
        <v>57</v>
      </c>
      <c r="G46" s="3" t="s">
        <v>19</v>
      </c>
      <c r="H46" s="3" t="s">
        <v>63</v>
      </c>
      <c r="I46" s="3" t="s">
        <v>19</v>
      </c>
      <c r="J46" s="3" t="s">
        <v>65</v>
      </c>
      <c r="K46" s="4">
        <v>6</v>
      </c>
    </row>
    <row r="47" spans="1:11" x14ac:dyDescent="0.25">
      <c r="A47" s="3" t="s">
        <v>241</v>
      </c>
      <c r="B47" s="3" t="s">
        <v>4</v>
      </c>
      <c r="C47" s="3" t="s">
        <v>207</v>
      </c>
      <c r="D47" s="3" t="s">
        <v>171</v>
      </c>
      <c r="E47" s="3" t="s">
        <v>75</v>
      </c>
      <c r="F47" s="3" t="s">
        <v>242</v>
      </c>
      <c r="G47" s="3" t="s">
        <v>4</v>
      </c>
      <c r="H47" s="3" t="s">
        <v>75</v>
      </c>
      <c r="I47" s="3" t="s">
        <v>4</v>
      </c>
      <c r="J47" s="3" t="s">
        <v>77</v>
      </c>
      <c r="K47" s="4">
        <v>1</v>
      </c>
    </row>
    <row r="48" spans="1:11" x14ac:dyDescent="0.25">
      <c r="A48" s="3" t="s">
        <v>195</v>
      </c>
      <c r="B48" s="3" t="s">
        <v>7</v>
      </c>
      <c r="C48" s="3" t="s">
        <v>152</v>
      </c>
      <c r="D48" s="3" t="s">
        <v>153</v>
      </c>
      <c r="E48" s="3" t="s">
        <v>109</v>
      </c>
      <c r="F48" s="3" t="s">
        <v>196</v>
      </c>
      <c r="G48" s="3" t="s">
        <v>7</v>
      </c>
      <c r="H48" s="3" t="s">
        <v>109</v>
      </c>
      <c r="I48" s="3" t="s">
        <v>7</v>
      </c>
      <c r="J48" s="3" t="s">
        <v>110</v>
      </c>
      <c r="K48" s="4">
        <v>2</v>
      </c>
    </row>
    <row r="49" spans="1:11" x14ac:dyDescent="0.25">
      <c r="A49" s="3" t="s">
        <v>151</v>
      </c>
      <c r="B49" s="3" t="s">
        <v>271</v>
      </c>
      <c r="C49" s="3" t="s">
        <v>152</v>
      </c>
      <c r="D49" s="3" t="s">
        <v>153</v>
      </c>
      <c r="E49" s="3" t="s">
        <v>109</v>
      </c>
      <c r="F49" s="3" t="s">
        <v>154</v>
      </c>
      <c r="G49" s="3" t="s">
        <v>271</v>
      </c>
      <c r="H49" s="3" t="s">
        <v>109</v>
      </c>
      <c r="I49" s="3" t="s">
        <v>140</v>
      </c>
      <c r="J49" s="3" t="s">
        <v>110</v>
      </c>
      <c r="K49" s="4">
        <v>4</v>
      </c>
    </row>
    <row r="50" spans="1:11" x14ac:dyDescent="0.25">
      <c r="A50" s="3" t="s">
        <v>220</v>
      </c>
      <c r="B50" s="3" t="s">
        <v>4</v>
      </c>
      <c r="C50" s="3" t="s">
        <v>191</v>
      </c>
      <c r="D50" s="3" t="s">
        <v>153</v>
      </c>
      <c r="E50" s="3" t="s">
        <v>63</v>
      </c>
      <c r="F50" s="3" t="s">
        <v>221</v>
      </c>
      <c r="G50" s="3" t="s">
        <v>4</v>
      </c>
      <c r="H50" s="3" t="s">
        <v>63</v>
      </c>
      <c r="I50" s="3" t="s">
        <v>4</v>
      </c>
      <c r="J50" s="3" t="s">
        <v>65</v>
      </c>
      <c r="K50" s="4">
        <v>1</v>
      </c>
    </row>
    <row r="51" spans="1:11" x14ac:dyDescent="0.25">
      <c r="A51" s="3" t="s">
        <v>161</v>
      </c>
      <c r="B51" s="3" t="s">
        <v>271</v>
      </c>
      <c r="C51" s="3" t="s">
        <v>162</v>
      </c>
      <c r="D51" s="3" t="s">
        <v>163</v>
      </c>
      <c r="E51" s="3" t="s">
        <v>85</v>
      </c>
      <c r="F51" s="3" t="s">
        <v>164</v>
      </c>
      <c r="G51" s="3" t="s">
        <v>271</v>
      </c>
      <c r="H51" s="3" t="s">
        <v>85</v>
      </c>
      <c r="I51" s="3" t="s">
        <v>140</v>
      </c>
      <c r="J51" s="3" t="s">
        <v>87</v>
      </c>
      <c r="K51" s="4">
        <v>4</v>
      </c>
    </row>
    <row r="52" spans="1:11" x14ac:dyDescent="0.25">
      <c r="A52" s="3" t="s">
        <v>169</v>
      </c>
      <c r="B52" s="3" t="s">
        <v>263</v>
      </c>
      <c r="C52" s="3" t="s">
        <v>170</v>
      </c>
      <c r="D52" s="3" t="s">
        <v>171</v>
      </c>
      <c r="E52" s="3" t="s">
        <v>72</v>
      </c>
      <c r="F52" s="3" t="s">
        <v>172</v>
      </c>
      <c r="G52" s="3" t="s">
        <v>263</v>
      </c>
      <c r="H52" s="3" t="s">
        <v>72</v>
      </c>
      <c r="I52" s="3" t="s">
        <v>263</v>
      </c>
      <c r="J52" s="3" t="s">
        <v>73</v>
      </c>
      <c r="K52" s="4">
        <v>3</v>
      </c>
    </row>
    <row r="53" spans="1:11" x14ac:dyDescent="0.25">
      <c r="A53" s="3" t="s">
        <v>193</v>
      </c>
      <c r="B53" s="3" t="s">
        <v>7</v>
      </c>
      <c r="C53" s="3" t="s">
        <v>162</v>
      </c>
      <c r="D53" s="3" t="s">
        <v>163</v>
      </c>
      <c r="E53" s="3" t="s">
        <v>75</v>
      </c>
      <c r="F53" s="3" t="s">
        <v>194</v>
      </c>
      <c r="G53" s="3" t="s">
        <v>7</v>
      </c>
      <c r="H53" s="3" t="s">
        <v>75</v>
      </c>
      <c r="I53" s="3" t="s">
        <v>7</v>
      </c>
      <c r="J53" s="3" t="s">
        <v>77</v>
      </c>
      <c r="K53" s="4">
        <v>2</v>
      </c>
    </row>
    <row r="54" spans="1:11" x14ac:dyDescent="0.25">
      <c r="A54" s="3" t="s">
        <v>68</v>
      </c>
      <c r="B54" s="3" t="s">
        <v>263</v>
      </c>
      <c r="C54" s="3" t="s">
        <v>35</v>
      </c>
      <c r="D54" s="3" t="s">
        <v>36</v>
      </c>
      <c r="E54" s="3" t="s">
        <v>37</v>
      </c>
      <c r="F54" s="3" t="s">
        <v>69</v>
      </c>
      <c r="G54" s="3" t="s">
        <v>263</v>
      </c>
      <c r="H54" s="3" t="s">
        <v>37</v>
      </c>
      <c r="I54" s="3" t="s">
        <v>263</v>
      </c>
      <c r="J54" s="3" t="s">
        <v>39</v>
      </c>
      <c r="K54" s="4">
        <v>3</v>
      </c>
    </row>
    <row r="55" spans="1:11" x14ac:dyDescent="0.25">
      <c r="A55" s="3" t="s">
        <v>134</v>
      </c>
      <c r="B55" s="3" t="s">
        <v>270</v>
      </c>
      <c r="C55" s="3" t="s">
        <v>35</v>
      </c>
      <c r="D55" s="3" t="s">
        <v>36</v>
      </c>
      <c r="E55" s="3" t="s">
        <v>78</v>
      </c>
      <c r="F55" s="3" t="s">
        <v>135</v>
      </c>
      <c r="G55" s="3" t="s">
        <v>270</v>
      </c>
      <c r="H55" s="3" t="s">
        <v>78</v>
      </c>
      <c r="I55" s="3" t="s">
        <v>16</v>
      </c>
      <c r="J55" s="3" t="s">
        <v>79</v>
      </c>
      <c r="K55" s="4">
        <v>5</v>
      </c>
    </row>
    <row r="56" spans="1:11" x14ac:dyDescent="0.25">
      <c r="A56" s="3" t="s">
        <v>97</v>
      </c>
      <c r="B56" s="3" t="s">
        <v>7</v>
      </c>
      <c r="C56" s="3" t="s">
        <v>35</v>
      </c>
      <c r="D56" s="3" t="s">
        <v>36</v>
      </c>
      <c r="E56" s="3" t="s">
        <v>75</v>
      </c>
      <c r="F56" s="3" t="s">
        <v>99</v>
      </c>
      <c r="G56" s="3" t="s">
        <v>7</v>
      </c>
      <c r="H56" s="3" t="s">
        <v>75</v>
      </c>
      <c r="I56" s="3" t="s">
        <v>7</v>
      </c>
      <c r="J56" s="3" t="s">
        <v>77</v>
      </c>
      <c r="K56" s="4">
        <v>2</v>
      </c>
    </row>
    <row r="57" spans="1:11" x14ac:dyDescent="0.25">
      <c r="A57" s="3" t="s">
        <v>228</v>
      </c>
      <c r="B57" s="3" t="s">
        <v>4</v>
      </c>
      <c r="C57" s="3" t="s">
        <v>198</v>
      </c>
      <c r="D57" s="3" t="s">
        <v>229</v>
      </c>
      <c r="E57" s="3" t="s">
        <v>78</v>
      </c>
      <c r="F57" s="3" t="s">
        <v>230</v>
      </c>
      <c r="G57" s="3" t="s">
        <v>4</v>
      </c>
      <c r="H57" s="3" t="s">
        <v>78</v>
      </c>
      <c r="I57" s="3" t="s">
        <v>4</v>
      </c>
      <c r="J57" s="3" t="s">
        <v>79</v>
      </c>
      <c r="K57" s="4">
        <v>1</v>
      </c>
    </row>
    <row r="58" spans="1:11" x14ac:dyDescent="0.25">
      <c r="A58" s="3" t="s">
        <v>247</v>
      </c>
      <c r="B58" s="3" t="s">
        <v>4</v>
      </c>
      <c r="C58" s="3" t="s">
        <v>188</v>
      </c>
      <c r="D58" s="3" t="s">
        <v>171</v>
      </c>
      <c r="E58" s="3" t="s">
        <v>81</v>
      </c>
      <c r="F58" s="3" t="s">
        <v>248</v>
      </c>
      <c r="G58" s="3" t="s">
        <v>4</v>
      </c>
      <c r="H58" s="3" t="s">
        <v>81</v>
      </c>
      <c r="I58" s="3" t="s">
        <v>4</v>
      </c>
      <c r="J58" s="3" t="s">
        <v>83</v>
      </c>
      <c r="K58" s="4">
        <v>1</v>
      </c>
    </row>
    <row r="59" spans="1:11" x14ac:dyDescent="0.25">
      <c r="A59" s="3" t="s">
        <v>200</v>
      </c>
      <c r="B59" s="3" t="s">
        <v>263</v>
      </c>
      <c r="C59" s="3" t="s">
        <v>145</v>
      </c>
      <c r="D59" s="3" t="s">
        <v>146</v>
      </c>
      <c r="E59" s="3" t="s">
        <v>47</v>
      </c>
      <c r="F59" s="3" t="s">
        <v>201</v>
      </c>
      <c r="G59" s="3" t="s">
        <v>263</v>
      </c>
      <c r="H59" s="3" t="s">
        <v>47</v>
      </c>
      <c r="I59" s="3" t="s">
        <v>263</v>
      </c>
      <c r="J59" s="3" t="s">
        <v>49</v>
      </c>
      <c r="K59" s="4">
        <v>3</v>
      </c>
    </row>
    <row r="60" spans="1:11" x14ac:dyDescent="0.25">
      <c r="A60" s="3" t="s">
        <v>91</v>
      </c>
      <c r="B60" s="3" t="s">
        <v>272</v>
      </c>
      <c r="C60" s="3" t="s">
        <v>35</v>
      </c>
      <c r="D60" s="3" t="s">
        <v>36</v>
      </c>
      <c r="E60" s="3" t="s">
        <v>63</v>
      </c>
      <c r="F60" s="3" t="s">
        <v>92</v>
      </c>
      <c r="G60" s="3" t="s">
        <v>272</v>
      </c>
      <c r="H60" s="3" t="s">
        <v>63</v>
      </c>
      <c r="I60" s="3" t="s">
        <v>140</v>
      </c>
      <c r="J60" s="3" t="s">
        <v>65</v>
      </c>
      <c r="K60" s="4">
        <v>4</v>
      </c>
    </row>
    <row r="61" spans="1:11" x14ac:dyDescent="0.25">
      <c r="A61" s="3" t="s">
        <v>167</v>
      </c>
      <c r="B61" s="3" t="s">
        <v>263</v>
      </c>
      <c r="C61" s="3" t="s">
        <v>152</v>
      </c>
      <c r="D61" s="3" t="s">
        <v>153</v>
      </c>
      <c r="E61" s="3" t="s">
        <v>43</v>
      </c>
      <c r="F61" s="3" t="s">
        <v>168</v>
      </c>
      <c r="G61" s="3" t="s">
        <v>263</v>
      </c>
      <c r="H61" s="3" t="s">
        <v>43</v>
      </c>
      <c r="I61" s="3" t="s">
        <v>263</v>
      </c>
      <c r="J61" s="3" t="s">
        <v>45</v>
      </c>
      <c r="K61" s="4">
        <v>3</v>
      </c>
    </row>
    <row r="62" spans="1:11" x14ac:dyDescent="0.25">
      <c r="A62" s="3" t="s">
        <v>95</v>
      </c>
      <c r="B62" s="3" t="s">
        <v>271</v>
      </c>
      <c r="C62" s="3" t="s">
        <v>35</v>
      </c>
      <c r="D62" s="3" t="s">
        <v>36</v>
      </c>
      <c r="E62" s="3" t="s">
        <v>125</v>
      </c>
      <c r="F62" s="3" t="s">
        <v>96</v>
      </c>
      <c r="G62" s="3" t="s">
        <v>271</v>
      </c>
      <c r="H62" s="3" t="s">
        <v>125</v>
      </c>
      <c r="I62" s="3" t="s">
        <v>140</v>
      </c>
      <c r="J62" s="3" t="s">
        <v>126</v>
      </c>
      <c r="K62" s="4">
        <v>4</v>
      </c>
    </row>
    <row r="63" spans="1:11" x14ac:dyDescent="0.25">
      <c r="A63" s="3" t="s">
        <v>173</v>
      </c>
      <c r="B63" s="3" t="s">
        <v>263</v>
      </c>
      <c r="C63" s="3" t="s">
        <v>145</v>
      </c>
      <c r="D63" s="3" t="s">
        <v>146</v>
      </c>
      <c r="E63" s="3" t="s">
        <v>78</v>
      </c>
      <c r="F63" s="3" t="s">
        <v>174</v>
      </c>
      <c r="G63" s="3" t="s">
        <v>263</v>
      </c>
      <c r="H63" s="3" t="s">
        <v>78</v>
      </c>
      <c r="I63" s="3" t="s">
        <v>263</v>
      </c>
      <c r="J63" s="3" t="s">
        <v>79</v>
      </c>
      <c r="K63" s="4">
        <v>3</v>
      </c>
    </row>
    <row r="64" spans="1:11" x14ac:dyDescent="0.25">
      <c r="A64" s="3" t="s">
        <v>249</v>
      </c>
      <c r="B64" s="3" t="s">
        <v>4</v>
      </c>
      <c r="C64" s="3" t="s">
        <v>191</v>
      </c>
      <c r="D64" s="3" t="s">
        <v>153</v>
      </c>
      <c r="E64" s="3" t="s">
        <v>85</v>
      </c>
      <c r="F64" s="3" t="s">
        <v>250</v>
      </c>
      <c r="G64" s="3" t="s">
        <v>4</v>
      </c>
      <c r="H64" s="3" t="s">
        <v>85</v>
      </c>
      <c r="I64" s="3" t="s">
        <v>4</v>
      </c>
      <c r="J64" s="3" t="s">
        <v>87</v>
      </c>
      <c r="K64" s="4">
        <v>1</v>
      </c>
    </row>
    <row r="65" spans="1:11" x14ac:dyDescent="0.25">
      <c r="A65" s="3" t="s">
        <v>121</v>
      </c>
      <c r="B65" s="3" t="s">
        <v>263</v>
      </c>
      <c r="C65" s="3" t="s">
        <v>35</v>
      </c>
      <c r="D65" s="3" t="s">
        <v>36</v>
      </c>
      <c r="E65" s="3" t="s">
        <v>98</v>
      </c>
      <c r="F65" s="3" t="s">
        <v>122</v>
      </c>
      <c r="G65" s="3" t="s">
        <v>263</v>
      </c>
      <c r="H65" s="3" t="s">
        <v>98</v>
      </c>
      <c r="I65" s="3" t="s">
        <v>263</v>
      </c>
      <c r="J65" s="3" t="s">
        <v>100</v>
      </c>
      <c r="K65" s="4">
        <v>3</v>
      </c>
    </row>
    <row r="66" spans="1:11" x14ac:dyDescent="0.25">
      <c r="A66" s="3" t="s">
        <v>204</v>
      </c>
      <c r="B66" s="3" t="s">
        <v>263</v>
      </c>
      <c r="C66" s="3" t="s">
        <v>149</v>
      </c>
      <c r="D66" s="3" t="s">
        <v>36</v>
      </c>
      <c r="E66" s="3" t="s">
        <v>81</v>
      </c>
      <c r="F66" s="3" t="s">
        <v>205</v>
      </c>
      <c r="G66" s="3" t="s">
        <v>263</v>
      </c>
      <c r="H66" s="3" t="s">
        <v>81</v>
      </c>
      <c r="I66" s="3" t="s">
        <v>263</v>
      </c>
      <c r="J66" s="3" t="s">
        <v>83</v>
      </c>
      <c r="K66" s="4">
        <v>3</v>
      </c>
    </row>
    <row r="67" spans="1:11" x14ac:dyDescent="0.25">
      <c r="A67" s="3" t="s">
        <v>190</v>
      </c>
      <c r="B67" s="3" t="s">
        <v>7</v>
      </c>
      <c r="C67" s="3" t="s">
        <v>191</v>
      </c>
      <c r="D67" s="3" t="s">
        <v>153</v>
      </c>
      <c r="E67" s="3" t="s">
        <v>98</v>
      </c>
      <c r="F67" s="3" t="s">
        <v>192</v>
      </c>
      <c r="G67" s="3" t="s">
        <v>7</v>
      </c>
      <c r="H67" s="3" t="s">
        <v>98</v>
      </c>
      <c r="I67" s="3" t="s">
        <v>7</v>
      </c>
      <c r="J67" s="3" t="s">
        <v>100</v>
      </c>
      <c r="K67" s="4">
        <v>2</v>
      </c>
    </row>
    <row r="68" spans="1:11" x14ac:dyDescent="0.25">
      <c r="A68" s="3" t="s">
        <v>127</v>
      </c>
      <c r="B68" s="3" t="s">
        <v>4</v>
      </c>
      <c r="C68" s="3" t="s">
        <v>35</v>
      </c>
      <c r="D68" s="3" t="s">
        <v>36</v>
      </c>
      <c r="E68" s="3" t="s">
        <v>125</v>
      </c>
      <c r="F68" s="3" t="s">
        <v>128</v>
      </c>
      <c r="G68" s="3" t="s">
        <v>4</v>
      </c>
      <c r="H68" s="3" t="s">
        <v>125</v>
      </c>
      <c r="I68" s="3" t="s">
        <v>4</v>
      </c>
      <c r="J68" s="3" t="s">
        <v>126</v>
      </c>
      <c r="K68" s="4">
        <v>1</v>
      </c>
    </row>
    <row r="69" spans="1:11" x14ac:dyDescent="0.25">
      <c r="A69" s="3" t="s">
        <v>34</v>
      </c>
      <c r="B69" s="3" t="s">
        <v>4</v>
      </c>
      <c r="C69" s="3" t="s">
        <v>35</v>
      </c>
      <c r="D69" s="3" t="s">
        <v>36</v>
      </c>
      <c r="E69" s="3" t="s">
        <v>37</v>
      </c>
      <c r="F69" s="3" t="s">
        <v>38</v>
      </c>
      <c r="G69" s="3" t="s">
        <v>4</v>
      </c>
      <c r="H69" s="3" t="s">
        <v>37</v>
      </c>
      <c r="I69" s="3" t="s">
        <v>4</v>
      </c>
      <c r="J69" s="3" t="s">
        <v>39</v>
      </c>
      <c r="K69" s="4">
        <v>1</v>
      </c>
    </row>
    <row r="70" spans="1:11" x14ac:dyDescent="0.25">
      <c r="A70" s="3" t="s">
        <v>179</v>
      </c>
      <c r="B70" s="3" t="s">
        <v>263</v>
      </c>
      <c r="C70" s="3" t="s">
        <v>162</v>
      </c>
      <c r="D70" s="3" t="s">
        <v>163</v>
      </c>
      <c r="E70" s="3" t="s">
        <v>109</v>
      </c>
      <c r="F70" s="3" t="s">
        <v>180</v>
      </c>
      <c r="G70" s="3" t="s">
        <v>263</v>
      </c>
      <c r="H70" s="3" t="s">
        <v>109</v>
      </c>
      <c r="I70" s="3" t="s">
        <v>263</v>
      </c>
      <c r="J70" s="3" t="s">
        <v>110</v>
      </c>
      <c r="K70" s="4">
        <v>3</v>
      </c>
    </row>
    <row r="71" spans="1:11" x14ac:dyDescent="0.25">
      <c r="A71" s="3" t="s">
        <v>233</v>
      </c>
      <c r="B71" s="3" t="s">
        <v>4</v>
      </c>
      <c r="C71" s="3" t="s">
        <v>188</v>
      </c>
      <c r="D71" s="3" t="s">
        <v>171</v>
      </c>
      <c r="E71" s="3" t="s">
        <v>63</v>
      </c>
      <c r="F71" s="3" t="s">
        <v>234</v>
      </c>
      <c r="G71" s="3" t="s">
        <v>4</v>
      </c>
      <c r="H71" s="3" t="s">
        <v>63</v>
      </c>
      <c r="I71" s="3" t="s">
        <v>4</v>
      </c>
      <c r="J71" s="3" t="s">
        <v>65</v>
      </c>
      <c r="K71" s="4">
        <v>1</v>
      </c>
    </row>
    <row r="72" spans="1:11" x14ac:dyDescent="0.25">
      <c r="A72" s="3" t="s">
        <v>105</v>
      </c>
      <c r="B72" s="3" t="s">
        <v>4</v>
      </c>
      <c r="C72" s="3" t="s">
        <v>35</v>
      </c>
      <c r="D72" s="3" t="s">
        <v>36</v>
      </c>
      <c r="E72" s="3" t="s">
        <v>78</v>
      </c>
      <c r="F72" s="3" t="s">
        <v>106</v>
      </c>
      <c r="G72" s="3" t="s">
        <v>4</v>
      </c>
      <c r="H72" s="3" t="s">
        <v>78</v>
      </c>
      <c r="I72" s="3" t="s">
        <v>4</v>
      </c>
      <c r="J72" s="3" t="s">
        <v>79</v>
      </c>
      <c r="K72" s="4">
        <v>1</v>
      </c>
    </row>
    <row r="73" spans="1:11" x14ac:dyDescent="0.25">
      <c r="A73" s="3" t="s">
        <v>155</v>
      </c>
      <c r="B73" s="3" t="s">
        <v>271</v>
      </c>
      <c r="C73" s="3" t="s">
        <v>149</v>
      </c>
      <c r="D73" s="3" t="s">
        <v>36</v>
      </c>
      <c r="E73" s="3" t="s">
        <v>43</v>
      </c>
      <c r="F73" s="3" t="s">
        <v>156</v>
      </c>
      <c r="G73" s="3" t="s">
        <v>271</v>
      </c>
      <c r="H73" s="3" t="s">
        <v>43</v>
      </c>
      <c r="I73" s="3" t="s">
        <v>140</v>
      </c>
      <c r="J73" s="3" t="s">
        <v>45</v>
      </c>
      <c r="K73" s="4">
        <v>4</v>
      </c>
    </row>
    <row r="74" spans="1:11" x14ac:dyDescent="0.25">
      <c r="A74" s="3" t="s">
        <v>136</v>
      </c>
      <c r="B74" s="3" t="s">
        <v>7</v>
      </c>
      <c r="C74" s="3" t="s">
        <v>35</v>
      </c>
      <c r="D74" s="3" t="s">
        <v>36</v>
      </c>
      <c r="E74" s="3" t="s">
        <v>78</v>
      </c>
      <c r="F74" s="3" t="s">
        <v>137</v>
      </c>
      <c r="G74" s="3" t="s">
        <v>7</v>
      </c>
      <c r="H74" s="3" t="s">
        <v>78</v>
      </c>
      <c r="I74" s="3" t="s">
        <v>7</v>
      </c>
      <c r="J74" s="3" t="s">
        <v>79</v>
      </c>
      <c r="K74" s="4">
        <v>2</v>
      </c>
    </row>
    <row r="75" spans="1:11" x14ac:dyDescent="0.25">
      <c r="A75" s="3" t="s">
        <v>101</v>
      </c>
      <c r="B75" s="3" t="s">
        <v>4</v>
      </c>
      <c r="C75" s="3" t="s">
        <v>35</v>
      </c>
      <c r="D75" s="3" t="s">
        <v>36</v>
      </c>
      <c r="E75" s="3" t="s">
        <v>78</v>
      </c>
      <c r="F75" s="3" t="s">
        <v>102</v>
      </c>
      <c r="G75" s="3" t="s">
        <v>4</v>
      </c>
      <c r="H75" s="3" t="s">
        <v>78</v>
      </c>
      <c r="I75" s="3" t="s">
        <v>4</v>
      </c>
      <c r="J75" s="3" t="s">
        <v>79</v>
      </c>
      <c r="K75" s="4">
        <v>1</v>
      </c>
    </row>
    <row r="76" spans="1:11" x14ac:dyDescent="0.25">
      <c r="A76" s="3" t="s">
        <v>46</v>
      </c>
      <c r="B76" s="3" t="s">
        <v>270</v>
      </c>
      <c r="C76" s="3" t="s">
        <v>35</v>
      </c>
      <c r="D76" s="3" t="s">
        <v>36</v>
      </c>
      <c r="E76" s="3" t="s">
        <v>37</v>
      </c>
      <c r="F76" s="3" t="s">
        <v>48</v>
      </c>
      <c r="G76" s="3" t="s">
        <v>270</v>
      </c>
      <c r="H76" s="3" t="s">
        <v>37</v>
      </c>
      <c r="I76" s="3" t="s">
        <v>16</v>
      </c>
      <c r="J76" s="3" t="s">
        <v>39</v>
      </c>
      <c r="K76" s="4">
        <v>5</v>
      </c>
    </row>
    <row r="77" spans="1:11" x14ac:dyDescent="0.25">
      <c r="A77" s="3" t="s">
        <v>245</v>
      </c>
      <c r="B77" s="3" t="s">
        <v>4</v>
      </c>
      <c r="C77" s="3" t="s">
        <v>162</v>
      </c>
      <c r="D77" s="3" t="s">
        <v>163</v>
      </c>
      <c r="E77" s="3" t="s">
        <v>125</v>
      </c>
      <c r="F77" s="3" t="s">
        <v>246</v>
      </c>
      <c r="G77" s="3" t="s">
        <v>4</v>
      </c>
      <c r="H77" s="3" t="s">
        <v>125</v>
      </c>
      <c r="I77" s="3" t="s">
        <v>4</v>
      </c>
      <c r="J77" s="3" t="s">
        <v>126</v>
      </c>
      <c r="K77" s="4">
        <v>1</v>
      </c>
    </row>
    <row r="78" spans="1:11" x14ac:dyDescent="0.25">
      <c r="A78" s="3" t="s">
        <v>257</v>
      </c>
      <c r="B78" s="3" t="s">
        <v>4</v>
      </c>
      <c r="C78" s="3" t="s">
        <v>207</v>
      </c>
      <c r="D78" s="3" t="s">
        <v>171</v>
      </c>
      <c r="E78" s="3" t="s">
        <v>125</v>
      </c>
      <c r="F78" s="3" t="s">
        <v>258</v>
      </c>
      <c r="G78" s="3" t="s">
        <v>4</v>
      </c>
      <c r="H78" s="3" t="s">
        <v>125</v>
      </c>
      <c r="I78" s="3" t="s">
        <v>4</v>
      </c>
      <c r="J78" s="3" t="s">
        <v>126</v>
      </c>
      <c r="K78" s="4">
        <v>1</v>
      </c>
    </row>
    <row r="79" spans="1:11" x14ac:dyDescent="0.25">
      <c r="A79" s="3" t="s">
        <v>224</v>
      </c>
      <c r="B79" s="3" t="s">
        <v>4</v>
      </c>
      <c r="C79" s="3" t="s">
        <v>162</v>
      </c>
      <c r="D79" s="3" t="s">
        <v>163</v>
      </c>
      <c r="E79" s="3" t="s">
        <v>75</v>
      </c>
      <c r="F79" s="3" t="s">
        <v>225</v>
      </c>
      <c r="G79" s="3" t="s">
        <v>4</v>
      </c>
      <c r="H79" s="3" t="s">
        <v>75</v>
      </c>
      <c r="I79" s="3" t="s">
        <v>4</v>
      </c>
      <c r="J79" s="3" t="s">
        <v>77</v>
      </c>
      <c r="K79" s="4">
        <v>1</v>
      </c>
    </row>
    <row r="80" spans="1:11" x14ac:dyDescent="0.25">
      <c r="A80" s="3" t="s">
        <v>148</v>
      </c>
      <c r="B80" s="3" t="s">
        <v>272</v>
      </c>
      <c r="C80" s="3" t="s">
        <v>149</v>
      </c>
      <c r="D80" s="3" t="s">
        <v>36</v>
      </c>
      <c r="E80" s="3" t="s">
        <v>109</v>
      </c>
      <c r="F80" s="3" t="s">
        <v>150</v>
      </c>
      <c r="G80" s="3" t="s">
        <v>272</v>
      </c>
      <c r="H80" s="3" t="s">
        <v>109</v>
      </c>
      <c r="I80" s="3" t="s">
        <v>140</v>
      </c>
      <c r="J80" s="3" t="s">
        <v>110</v>
      </c>
      <c r="K80" s="4">
        <v>4</v>
      </c>
    </row>
    <row r="81" spans="1:11" x14ac:dyDescent="0.25">
      <c r="A81" s="3" t="s">
        <v>138</v>
      </c>
      <c r="B81" s="3" t="s">
        <v>263</v>
      </c>
      <c r="C81" s="3" t="s">
        <v>35</v>
      </c>
      <c r="D81" s="3" t="s">
        <v>36</v>
      </c>
      <c r="E81" s="3" t="s">
        <v>125</v>
      </c>
      <c r="F81" s="3" t="s">
        <v>139</v>
      </c>
      <c r="G81" s="3" t="s">
        <v>263</v>
      </c>
      <c r="H81" s="3" t="s">
        <v>125</v>
      </c>
      <c r="I81" s="3" t="s">
        <v>263</v>
      </c>
      <c r="J81" s="3" t="s">
        <v>126</v>
      </c>
      <c r="K81" s="4">
        <v>3</v>
      </c>
    </row>
    <row r="82" spans="1:11" x14ac:dyDescent="0.25">
      <c r="A82" s="3" t="s">
        <v>157</v>
      </c>
      <c r="B82" s="3" t="s">
        <v>19</v>
      </c>
      <c r="C82" s="3" t="s">
        <v>145</v>
      </c>
      <c r="D82" s="3" t="s">
        <v>146</v>
      </c>
      <c r="E82" s="3" t="s">
        <v>119</v>
      </c>
      <c r="F82" s="3" t="s">
        <v>158</v>
      </c>
      <c r="G82" s="3" t="s">
        <v>19</v>
      </c>
      <c r="H82" s="3" t="s">
        <v>119</v>
      </c>
      <c r="I82" s="3" t="s">
        <v>19</v>
      </c>
      <c r="J82" s="3" t="s">
        <v>120</v>
      </c>
      <c r="K82" s="4">
        <v>6</v>
      </c>
    </row>
    <row r="83" spans="1:11" x14ac:dyDescent="0.25">
      <c r="A83" s="3" t="s">
        <v>177</v>
      </c>
      <c r="B83" s="3" t="s">
        <v>140</v>
      </c>
      <c r="C83" s="3" t="s">
        <v>170</v>
      </c>
      <c r="D83" s="3" t="s">
        <v>171</v>
      </c>
      <c r="E83" s="3" t="s">
        <v>119</v>
      </c>
      <c r="F83" s="3" t="s">
        <v>178</v>
      </c>
      <c r="G83" s="3" t="s">
        <v>140</v>
      </c>
      <c r="H83" s="3" t="s">
        <v>119</v>
      </c>
      <c r="I83" s="3" t="s">
        <v>140</v>
      </c>
      <c r="J83" s="3" t="s">
        <v>120</v>
      </c>
      <c r="K83" s="4">
        <v>4</v>
      </c>
    </row>
    <row r="84" spans="1:11" x14ac:dyDescent="0.25">
      <c r="A84" s="3" t="s">
        <v>84</v>
      </c>
      <c r="B84" s="3" t="s">
        <v>263</v>
      </c>
      <c r="C84" s="3" t="s">
        <v>35</v>
      </c>
      <c r="D84" s="3" t="s">
        <v>36</v>
      </c>
      <c r="E84" s="3" t="s">
        <v>37</v>
      </c>
      <c r="F84" s="3" t="s">
        <v>86</v>
      </c>
      <c r="G84" s="3" t="s">
        <v>263</v>
      </c>
      <c r="H84" s="3" t="s">
        <v>37</v>
      </c>
      <c r="I84" s="3" t="s">
        <v>263</v>
      </c>
      <c r="J84" s="3" t="s">
        <v>39</v>
      </c>
      <c r="K84" s="4">
        <v>3</v>
      </c>
    </row>
    <row r="85" spans="1:11" x14ac:dyDescent="0.25">
      <c r="A85" s="3" t="s">
        <v>58</v>
      </c>
      <c r="B85" s="3" t="s">
        <v>140</v>
      </c>
      <c r="C85" s="3" t="s">
        <v>35</v>
      </c>
      <c r="D85" s="3" t="s">
        <v>36</v>
      </c>
      <c r="E85" s="3" t="s">
        <v>119</v>
      </c>
      <c r="F85" s="3" t="s">
        <v>59</v>
      </c>
      <c r="G85" s="3" t="s">
        <v>140</v>
      </c>
      <c r="H85" s="3" t="s">
        <v>119</v>
      </c>
      <c r="I85" s="3" t="s">
        <v>140</v>
      </c>
      <c r="J85" s="3" t="s">
        <v>120</v>
      </c>
      <c r="K85" s="4">
        <v>4</v>
      </c>
    </row>
    <row r="86" spans="1:11" x14ac:dyDescent="0.25">
      <c r="A86" s="3" t="s">
        <v>222</v>
      </c>
      <c r="B86" s="3" t="s">
        <v>4</v>
      </c>
      <c r="C86" s="3" t="s">
        <v>162</v>
      </c>
      <c r="D86" s="3" t="s">
        <v>163</v>
      </c>
      <c r="E86" s="3" t="s">
        <v>75</v>
      </c>
      <c r="F86" s="3" t="s">
        <v>223</v>
      </c>
      <c r="G86" s="3" t="s">
        <v>4</v>
      </c>
      <c r="H86" s="3" t="s">
        <v>75</v>
      </c>
      <c r="I86" s="3" t="s">
        <v>4</v>
      </c>
      <c r="J86" s="3" t="s">
        <v>77</v>
      </c>
      <c r="K86" s="4">
        <v>1</v>
      </c>
    </row>
  </sheetData>
  <autoFilter ref="A1:K86" xr:uid="{F463882C-BAAF-4BAF-A3F9-0E313D560C5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sankey</vt:lpstr>
      <vt:lpstr>deneb_arc</vt:lpstr>
      <vt:lpstr>line_chart_sankey</vt:lpstr>
      <vt:lpstr>line_sankey_diagram</vt:lpstr>
      <vt:lpstr>qualified_teams_copy</vt:lpstr>
      <vt:lpstr>Summary Farthest Perf.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Marselius Agus Dhion</dc:creator>
  <cp:lastModifiedBy>Marselius Agus Dhion</cp:lastModifiedBy>
  <dcterms:created xsi:type="dcterms:W3CDTF">2015-06-05T18:17:20Z</dcterms:created>
  <dcterms:modified xsi:type="dcterms:W3CDTF">2026-02-24T06:06:22Z</dcterms:modified>
</cp:coreProperties>
</file>