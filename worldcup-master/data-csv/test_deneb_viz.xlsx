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World-Cup-2026-\worldcup-master\data-csv\"/>
    </mc:Choice>
  </mc:AlternateContent>
  <xr:revisionPtr revIDLastSave="0" documentId="13_ncr:1_{907E4BD8-CCBC-4EF7-8C3E-FC409F5A5241}" xr6:coauthVersionLast="47" xr6:coauthVersionMax="47" xr10:uidLastSave="{00000000-0000-0000-0000-000000000000}"/>
  <bookViews>
    <workbookView xWindow="-120" yWindow="-120" windowWidth="20730" windowHeight="11040" firstSheet="2" activeTab="2" xr2:uid="{00000000-000D-0000-FFFF-FFFF00000000}"/>
  </bookViews>
  <sheets>
    <sheet name="sankey" sheetId="1" r:id="rId1"/>
    <sheet name="deneb_arc" sheetId="2" r:id="rId2"/>
    <sheet name="line_chart_sankey" sheetId="11" r:id="rId3"/>
    <sheet name="AFC" sheetId="9" r:id="rId4"/>
    <sheet name="UEFA" sheetId="4" r:id="rId5"/>
    <sheet name="OFC" sheetId="5" r:id="rId6"/>
    <sheet name="CAF" sheetId="6" r:id="rId7"/>
    <sheet name="CONCACAF" sheetId="7" r:id="rId8"/>
    <sheet name="CONMEBOL" sheetId="8" r:id="rId9"/>
  </sheets>
  <definedNames>
    <definedName name="_xlnm._FilterDatabase" localSheetId="3" hidden="1">AFC!$A$1:$J$13</definedName>
    <definedName name="_xlnm._FilterDatabase" localSheetId="6" hidden="1">CAF!$A$1:$J$14</definedName>
    <definedName name="_xlnm._FilterDatabase" localSheetId="7" hidden="1">CONCACAF!$A$1:$J$12</definedName>
    <definedName name="_xlnm._FilterDatabase" localSheetId="8" hidden="1">CONMEBOL!$A$1:$J$10</definedName>
    <definedName name="_xlnm._FilterDatabase" localSheetId="2" hidden="1">line_chart_sankey!$A$1:$J$171</definedName>
    <definedName name="_xlnm._FilterDatabase" localSheetId="5" hidden="1">OFC!$A$1:$I$3</definedName>
    <definedName name="_xlnm._FilterDatabase" localSheetId="4" hidden="1">UEFA!$A$1:$J$40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9" l="1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H10" i="8"/>
  <c r="H9" i="8"/>
  <c r="H8" i="8"/>
  <c r="H7" i="8"/>
  <c r="H6" i="8"/>
  <c r="H5" i="8"/>
  <c r="H4" i="8"/>
  <c r="H3" i="8"/>
  <c r="H2" i="8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3" i="4"/>
  <c r="H2" i="4"/>
  <c r="H3" i="6"/>
  <c r="H4" i="6"/>
  <c r="H5" i="6"/>
  <c r="H6" i="6"/>
  <c r="H7" i="6"/>
  <c r="H8" i="6"/>
  <c r="H9" i="6"/>
  <c r="H10" i="6"/>
  <c r="H11" i="6"/>
  <c r="H12" i="6"/>
  <c r="H13" i="6"/>
  <c r="H14" i="6"/>
  <c r="H2" i="6"/>
  <c r="H2" i="7"/>
  <c r="H3" i="7"/>
  <c r="H4" i="7"/>
  <c r="H5" i="7"/>
  <c r="H6" i="7"/>
  <c r="H7" i="7"/>
  <c r="H8" i="7"/>
  <c r="H9" i="7"/>
  <c r="H10" i="7"/>
  <c r="H11" i="7"/>
  <c r="H12" i="7"/>
</calcChain>
</file>

<file path=xl/sharedStrings.xml><?xml version="1.0" encoding="utf-8"?>
<sst xmlns="http://schemas.openxmlformats.org/spreadsheetml/2006/main" count="1977" uniqueCount="266">
  <si>
    <t>stage</t>
  </si>
  <si>
    <t>order</t>
  </si>
  <si>
    <t>color</t>
  </si>
  <si>
    <t>description</t>
  </si>
  <si>
    <t>Group Stage</t>
  </si>
  <si>
    <t>#E74C3C</t>
  </si>
  <si>
    <t>32 teams</t>
  </si>
  <si>
    <t>Round of 16</t>
  </si>
  <si>
    <t>#F39C12</t>
  </si>
  <si>
    <t>16 teams</t>
  </si>
  <si>
    <t>Quarter-finals</t>
  </si>
  <si>
    <t>#3498DB</t>
  </si>
  <si>
    <t>8 teams</t>
  </si>
  <si>
    <t>Semi-finals</t>
  </si>
  <si>
    <t>#2ECC71</t>
  </si>
  <si>
    <t>4 teams</t>
  </si>
  <si>
    <t>Finals</t>
  </si>
  <si>
    <t>#27AE60</t>
  </si>
  <si>
    <t>2 teams</t>
  </si>
  <si>
    <t>Winner</t>
  </si>
  <si>
    <t>#F1C40F</t>
  </si>
  <si>
    <t>Champion</t>
  </si>
  <si>
    <t>Country</t>
  </si>
  <si>
    <t>Year</t>
  </si>
  <si>
    <t>ArcY</t>
  </si>
  <si>
    <t>Brazil</t>
  </si>
  <si>
    <t>Germany</t>
  </si>
  <si>
    <t>team_name</t>
  </si>
  <si>
    <t>team_region</t>
  </si>
  <si>
    <t>team_confederation_code</t>
  </si>
  <si>
    <t>tournament_id</t>
  </si>
  <si>
    <t>team_code</t>
  </si>
  <si>
    <t>farthest_stage</t>
  </si>
  <si>
    <t>tournament_name</t>
  </si>
  <si>
    <t>Scotland</t>
  </si>
  <si>
    <t>Europe</t>
  </si>
  <si>
    <t>UEFA</t>
  </si>
  <si>
    <t>WC-1958</t>
  </si>
  <si>
    <t>SCO</t>
  </si>
  <si>
    <t>1958 FIFA Men's World Cup</t>
  </si>
  <si>
    <t>Hungary</t>
  </si>
  <si>
    <t>HUN</t>
  </si>
  <si>
    <t>France</t>
  </si>
  <si>
    <t>WC-1966</t>
  </si>
  <si>
    <t>FRA</t>
  </si>
  <si>
    <t>1966 FIFA Men's World Cup</t>
  </si>
  <si>
    <t>Sweden</t>
  </si>
  <si>
    <t>WC-1970</t>
  </si>
  <si>
    <t>SWE</t>
  </si>
  <si>
    <t>1970 FIFA Men's World Cup</t>
  </si>
  <si>
    <t>Bulgaria</t>
  </si>
  <si>
    <t>BGR</t>
  </si>
  <si>
    <t>East Germany</t>
  </si>
  <si>
    <t>WC-1974</t>
  </si>
  <si>
    <t>DDR</t>
  </si>
  <si>
    <t>1974 FIFA Men's World Cup</t>
  </si>
  <si>
    <t>Italy</t>
  </si>
  <si>
    <t>ITA</t>
  </si>
  <si>
    <t>Yugoslavia</t>
  </si>
  <si>
    <t>YUG</t>
  </si>
  <si>
    <t>WC-1978</t>
  </si>
  <si>
    <t>1978 FIFA Men's World Cup</t>
  </si>
  <si>
    <t>Spain</t>
  </si>
  <si>
    <t>WC-1982</t>
  </si>
  <si>
    <t>ESP</t>
  </si>
  <si>
    <t>1982 FIFA Men's World Cup</t>
  </si>
  <si>
    <t>Czechoslovakia</t>
  </si>
  <si>
    <t>CSK</t>
  </si>
  <si>
    <t>Northern Ireland</t>
  </si>
  <si>
    <t>NIR</t>
  </si>
  <si>
    <t>Belgium</t>
  </si>
  <si>
    <t>BEL</t>
  </si>
  <si>
    <t>WC-1986</t>
  </si>
  <si>
    <t>1986 FIFA Men's World Cup</t>
  </si>
  <si>
    <t>Austria</t>
  </si>
  <si>
    <t>WC-1998</t>
  </si>
  <si>
    <t>AUT</t>
  </si>
  <si>
    <t>1998 FIFA Men's World Cup</t>
  </si>
  <si>
    <t>WC-2010</t>
  </si>
  <si>
    <t>2010 FIFA Men's World Cup</t>
  </si>
  <si>
    <t>Iceland</t>
  </si>
  <si>
    <t>WC-2018</t>
  </si>
  <si>
    <t>ISL</t>
  </si>
  <si>
    <t>2018 FIFA Men's World Cup</t>
  </si>
  <si>
    <t>Wales</t>
  </si>
  <si>
    <t>WC-2022</t>
  </si>
  <si>
    <t>WAL</t>
  </si>
  <si>
    <t>2022 FIFA Men's World Cup</t>
  </si>
  <si>
    <t>DEU</t>
  </si>
  <si>
    <t>WC-1962</t>
  </si>
  <si>
    <t>1962 FIFA Men's World Cup</t>
  </si>
  <si>
    <t>Poland</t>
  </si>
  <si>
    <t>POL</t>
  </si>
  <si>
    <t>England</t>
  </si>
  <si>
    <t>ENG</t>
  </si>
  <si>
    <t>Portugal</t>
  </si>
  <si>
    <t>PRT</t>
  </si>
  <si>
    <t>Norway</t>
  </si>
  <si>
    <t>WC-1994</t>
  </si>
  <si>
    <t>NOR</t>
  </si>
  <si>
    <t>1994 FIFA Men's World Cup</t>
  </si>
  <si>
    <t>Slovenia</t>
  </si>
  <si>
    <t>SVN</t>
  </si>
  <si>
    <t>Switzerland</t>
  </si>
  <si>
    <t>CHE</t>
  </si>
  <si>
    <t>Serbia</t>
  </si>
  <si>
    <t>SRB</t>
  </si>
  <si>
    <t>WC-1990</t>
  </si>
  <si>
    <t>1990 FIFA Men's World Cup</t>
  </si>
  <si>
    <t>WC-2002</t>
  </si>
  <si>
    <t>2002 FIFA Men's World Cup</t>
  </si>
  <si>
    <t>Denmark</t>
  </si>
  <si>
    <t>DNK</t>
  </si>
  <si>
    <t>Croatia</t>
  </si>
  <si>
    <t>WC-2014</t>
  </si>
  <si>
    <t>HRV</t>
  </si>
  <si>
    <t>2014 FIFA Men's World Cup</t>
  </si>
  <si>
    <t>Bosnia and Herzegovina</t>
  </si>
  <si>
    <t>BIH</t>
  </si>
  <si>
    <t>WC-1930</t>
  </si>
  <si>
    <t>1930 FIFA Men's World Cup</t>
  </si>
  <si>
    <t>Romania</t>
  </si>
  <si>
    <t>ROU</t>
  </si>
  <si>
    <t>Greece</t>
  </si>
  <si>
    <t>GRC</t>
  </si>
  <si>
    <t>WC-2006</t>
  </si>
  <si>
    <t>2006 FIFA Men's World Cup</t>
  </si>
  <si>
    <t>Serbia and Montenegro</t>
  </si>
  <si>
    <t>SCG</t>
  </si>
  <si>
    <t>Czech Republic</t>
  </si>
  <si>
    <t>CZE</t>
  </si>
  <si>
    <t>West Germany</t>
  </si>
  <si>
    <t>Quarter-Final</t>
  </si>
  <si>
    <t>Republic of Ireland</t>
  </si>
  <si>
    <t>IRL</t>
  </si>
  <si>
    <t>Netherlands</t>
  </si>
  <si>
    <t>NLD</t>
  </si>
  <si>
    <t>Slovakia</t>
  </si>
  <si>
    <t>SVK</t>
  </si>
  <si>
    <t>Ukraine</t>
  </si>
  <si>
    <t>UKR</t>
  </si>
  <si>
    <t>Semi-Finals</t>
  </si>
  <si>
    <t>WC-1934</t>
  </si>
  <si>
    <t>1934 FIFA Men's World Cup</t>
  </si>
  <si>
    <t>WC-1938</t>
  </si>
  <si>
    <t>1938 FIFA Men's World Cup</t>
  </si>
  <si>
    <t>South America</t>
  </si>
  <si>
    <t>CONMEBOL</t>
  </si>
  <si>
    <t>BRA</t>
  </si>
  <si>
    <t>Turkey</t>
  </si>
  <si>
    <t>Europe, Asia</t>
  </si>
  <si>
    <t>TUR</t>
  </si>
  <si>
    <t>South Korea</t>
  </si>
  <si>
    <t>East Asia</t>
  </si>
  <si>
    <t>AFC</t>
  </si>
  <si>
    <t>KOR</t>
  </si>
  <si>
    <t>Soviet Union</t>
  </si>
  <si>
    <t>SUN</t>
  </si>
  <si>
    <t>Uruguay</t>
  </si>
  <si>
    <t>URY</t>
  </si>
  <si>
    <t>Chile</t>
  </si>
  <si>
    <t>CHL</t>
  </si>
  <si>
    <t>Morocco</t>
  </si>
  <si>
    <t>Africa</t>
  </si>
  <si>
    <t>CAF</t>
  </si>
  <si>
    <t>MAR</t>
  </si>
  <si>
    <t>Argentina</t>
  </si>
  <si>
    <t>ARG</t>
  </si>
  <si>
    <t>North Korea</t>
  </si>
  <si>
    <t>PRK</t>
  </si>
  <si>
    <t>Mexico</t>
  </si>
  <si>
    <t>North America</t>
  </si>
  <si>
    <t>CONCACAF</t>
  </si>
  <si>
    <t>MEX</t>
  </si>
  <si>
    <t>Paraguay</t>
  </si>
  <si>
    <t>PRY</t>
  </si>
  <si>
    <t>Colombia</t>
  </si>
  <si>
    <t>COL</t>
  </si>
  <si>
    <t>United States</t>
  </si>
  <si>
    <t>USA</t>
  </si>
  <si>
    <t>Senegal</t>
  </si>
  <si>
    <t>SEN</t>
  </si>
  <si>
    <t>Ghana</t>
  </si>
  <si>
    <t>GHA</t>
  </si>
  <si>
    <t>Algeria</t>
  </si>
  <si>
    <t>DZA</t>
  </si>
  <si>
    <t>Cameroon</t>
  </si>
  <si>
    <t>CMR</t>
  </si>
  <si>
    <t>Costa Rica</t>
  </si>
  <si>
    <t>Central America</t>
  </si>
  <si>
    <t>CRI</t>
  </si>
  <si>
    <t>Saudi Arabia</t>
  </si>
  <si>
    <t>Middle East</t>
  </si>
  <si>
    <t>SAU</t>
  </si>
  <si>
    <t>Nigeria</t>
  </si>
  <si>
    <t>NGA</t>
  </si>
  <si>
    <t>Japan</t>
  </si>
  <si>
    <t>JPN</t>
  </si>
  <si>
    <t>Australia</t>
  </si>
  <si>
    <t>Oceania</t>
  </si>
  <si>
    <t>AUS</t>
  </si>
  <si>
    <t>Peru</t>
  </si>
  <si>
    <t>PER</t>
  </si>
  <si>
    <t>Ecuador</t>
  </si>
  <si>
    <t>ECU</t>
  </si>
  <si>
    <t>Russia</t>
  </si>
  <si>
    <t>RUS</t>
  </si>
  <si>
    <t>Cuba</t>
  </si>
  <si>
    <t>Caribbean</t>
  </si>
  <si>
    <t>CUB</t>
  </si>
  <si>
    <t>Egypt</t>
  </si>
  <si>
    <t>EGY</t>
  </si>
  <si>
    <t>Dutch East Indies</t>
  </si>
  <si>
    <t>South East Asia</t>
  </si>
  <si>
    <t>IDN</t>
  </si>
  <si>
    <t>Israel</t>
  </si>
  <si>
    <t>ISR</t>
  </si>
  <si>
    <t>Iran</t>
  </si>
  <si>
    <t>IRN</t>
  </si>
  <si>
    <t>Honduras</t>
  </si>
  <si>
    <t>HND</t>
  </si>
  <si>
    <t>Kuwait</t>
  </si>
  <si>
    <t>KWT</t>
  </si>
  <si>
    <t>South Africa</t>
  </si>
  <si>
    <t>ZAF</t>
  </si>
  <si>
    <t>Tunisia</t>
  </si>
  <si>
    <t>TUN</t>
  </si>
  <si>
    <t>Angola</t>
  </si>
  <si>
    <t>AGO</t>
  </si>
  <si>
    <t>New Zealand</t>
  </si>
  <si>
    <t>OFC</t>
  </si>
  <si>
    <t>NZL</t>
  </si>
  <si>
    <t>Haiti</t>
  </si>
  <si>
    <t>HTI</t>
  </si>
  <si>
    <t>El Salvador</t>
  </si>
  <si>
    <t>SLV</t>
  </si>
  <si>
    <t>Iraq</t>
  </si>
  <si>
    <t>IRQ</t>
  </si>
  <si>
    <t>United Arab Emirates</t>
  </si>
  <si>
    <t>ARE</t>
  </si>
  <si>
    <t>Bolivia</t>
  </si>
  <si>
    <t>BOL</t>
  </si>
  <si>
    <t>Jamaica</t>
  </si>
  <si>
    <t>JAM</t>
  </si>
  <si>
    <t>Ivory Coast</t>
  </si>
  <si>
    <t>CIV</t>
  </si>
  <si>
    <t>Togo</t>
  </si>
  <si>
    <t>TGO</t>
  </si>
  <si>
    <t>Panama</t>
  </si>
  <si>
    <t>PAN</t>
  </si>
  <si>
    <t>Qatar</t>
  </si>
  <si>
    <t>QAT</t>
  </si>
  <si>
    <t>Canada</t>
  </si>
  <si>
    <t>CAN</t>
  </si>
  <si>
    <t>Zaire</t>
  </si>
  <si>
    <t>COD</t>
  </si>
  <si>
    <t>China</t>
  </si>
  <si>
    <t>CHN</t>
  </si>
  <si>
    <t>Trinidad and Tobago</t>
  </si>
  <si>
    <t>TTO</t>
  </si>
  <si>
    <t>X</t>
  </si>
  <si>
    <t>Y</t>
  </si>
  <si>
    <t>Note: Range 0 s/d 6 | Loncatan per Negara = 0.75</t>
  </si>
  <si>
    <t>DDW</t>
  </si>
  <si>
    <t>Multiplier</t>
  </si>
  <si>
    <t>Mutiplier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</si>
</sst>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0" fillId="2" borderId="0" xfId="0" applyFill="1"/>
    <xf numFmtId="0" fontId="0" fillId="0" borderId="2" xfId="0" applyBorder="1"/>
    <xf numFmtId="0" fontId="1" fillId="0" borderId="0" xfId="0" applyFont="1"/>
    <xf numFmtId="0" fontId="0" fillId="3" borderId="0" xfId="0" applyFill="1"/>
    <xf numFmtId="0" fontId="0" fillId="4" borderId="0" xfId="0" applyFill="1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FA723F-906A-4C0C-9E24-1D0F45635B6C}" name="Table1" displayName="Table1" ref="A1:D7" totalsRowShown="0">
  <autoFilter ref="A1:D7" xr:uid="{B8FA723F-906A-4C0C-9E24-1D0F45635B6C}"/>
  <tableColumns count="4">
    <tableColumn id="1" xr3:uid="{EF704CB7-1540-42F8-8386-4EFF2499F3EC}" name="stage"/>
    <tableColumn id="2" xr3:uid="{400E8248-1DAE-49FA-A42B-136B4CF60685}" name="order"/>
    <tableColumn id="3" xr3:uid="{57C46EBB-3916-43CE-AB90-05A739DA8EE0}" name="color"/>
    <tableColumn id="4" xr3:uid="{EF6EC9CD-6B42-4635-A970-C4960DA449C4}" name="descript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8CDECF-B688-4727-805A-F9323BC85DD4}" name="deneb_arc" displayName="deneb_arc" ref="A1:C7" totalsRowShown="0">
  <autoFilter ref="A1:C7" xr:uid="{208CDECF-B688-4727-805A-F9323BC85DD4}"/>
  <tableColumns count="3">
    <tableColumn id="1" xr3:uid="{BDA78465-C963-4B22-A84E-A382A3A87580}" name="Country"/>
    <tableColumn id="2" xr3:uid="{E578B711-4243-4B4E-A6A9-1D36A64A1A51}" name="Year"/>
    <tableColumn id="3" xr3:uid="{4AFEB57E-30DA-445A-83FF-50C38E9AC600}" name="Arc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FBD66F-BD6B-4BB0-8704-7F19F1476249}" name="line_chart_sankey" displayName="line_chart_sankey" ref="A1:J171" totalsRowShown="0">
  <autoFilter ref="A1:J171" xr:uid="{57C6B524-BFFD-41FF-A76A-836A0BD5CD2D}">
    <filterColumn colId="2">
      <filters>
        <filter val="UEFA"/>
      </filters>
    </filterColumn>
  </autoFilter>
  <sortState xmlns:xlrd2="http://schemas.microsoft.com/office/spreadsheetml/2017/richdata2" ref="A2:J171">
    <sortCondition ref="E1:E171"/>
  </sortState>
  <tableColumns count="10">
    <tableColumn id="1" xr3:uid="{B69506CC-F0A4-4140-81C9-6F7983F5AAFA}" name="team_name"/>
    <tableColumn id="2" xr3:uid="{10ACD0FE-6EE1-4090-8BFE-DF20AD3DC8D9}" name="team_region"/>
    <tableColumn id="3" xr3:uid="{EA462D4C-548B-4E0B-A133-56CE82E5D6A6}" name="team_confederation_code"/>
    <tableColumn id="4" xr3:uid="{73722168-16AC-4BB2-8A95-8910BED6658A}" name="tournament_id"/>
    <tableColumn id="5" xr3:uid="{33C443AE-7D13-4DDF-9448-8574DB580347}" name="team_code"/>
    <tableColumn id="6" xr3:uid="{0CB49F67-4BD1-416A-BCC3-9C16030DD04C}" name="farthest_stage"/>
    <tableColumn id="7" xr3:uid="{E6FA5848-DFE7-4FCA-918D-02FFC1BD7CEA}" name="tournament_name"/>
    <tableColumn id="8" xr3:uid="{3903D858-EF71-495D-9418-24E1879F6F12}" name="X"/>
    <tableColumn id="9" xr3:uid="{06E77AC8-689A-4050-A08F-5EAD4942DF40}" name="Multiplier"/>
    <tableColumn id="10" xr3:uid="{F7C112C5-3E9A-447F-9B4D-D535FD0ED4C1}" name="Y" dataDxfId="0">
      <calculatedColumnFormula>RANDBETWEEN(0,6)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workbookViewId="0">
      <selection activeCell="D12" sqref="D12"/>
    </sheetView>
  </sheetViews>
  <sheetFormatPr defaultRowHeight="15" x14ac:dyDescent="0.25"/>
  <cols>
    <col min="1" max="1" width="13.5703125" bestFit="1" customWidth="1"/>
    <col min="2" max="2" width="8" customWidth="1"/>
    <col min="3" max="3" width="8.42578125" bestFit="1" customWidth="1"/>
    <col min="4" max="4" width="13.1406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t="s">
        <v>5</v>
      </c>
      <c r="D2" t="s">
        <v>6</v>
      </c>
    </row>
    <row r="3" spans="1:4" x14ac:dyDescent="0.25">
      <c r="A3" t="s">
        <v>7</v>
      </c>
      <c r="B3">
        <v>2</v>
      </c>
      <c r="C3" t="s">
        <v>8</v>
      </c>
      <c r="D3" t="s">
        <v>9</v>
      </c>
    </row>
    <row r="4" spans="1:4" x14ac:dyDescent="0.25">
      <c r="A4" t="s">
        <v>10</v>
      </c>
      <c r="B4">
        <v>3</v>
      </c>
      <c r="C4" t="s">
        <v>11</v>
      </c>
      <c r="D4" t="s">
        <v>12</v>
      </c>
    </row>
    <row r="5" spans="1:4" x14ac:dyDescent="0.25">
      <c r="A5" t="s">
        <v>13</v>
      </c>
      <c r="B5">
        <v>4</v>
      </c>
      <c r="C5" t="s">
        <v>14</v>
      </c>
      <c r="D5" t="s">
        <v>15</v>
      </c>
    </row>
    <row r="6" spans="1:4" x14ac:dyDescent="0.25">
      <c r="A6" t="s">
        <v>16</v>
      </c>
      <c r="B6">
        <v>5</v>
      </c>
      <c r="C6" t="s">
        <v>17</v>
      </c>
      <c r="D6" t="s">
        <v>18</v>
      </c>
    </row>
    <row r="7" spans="1:4" x14ac:dyDescent="0.25">
      <c r="A7" t="s">
        <v>19</v>
      </c>
      <c r="B7">
        <v>6</v>
      </c>
      <c r="C7" t="s">
        <v>20</v>
      </c>
      <c r="D7" t="s"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C6D80-A8B1-462C-A3F9-0E77E2B95557}">
  <dimension ref="A1:C7"/>
  <sheetViews>
    <sheetView workbookViewId="0">
      <selection activeCell="F6" sqref="F6"/>
    </sheetView>
  </sheetViews>
  <sheetFormatPr defaultRowHeight="15" x14ac:dyDescent="0.25"/>
  <cols>
    <col min="1" max="1" width="10.140625" customWidth="1"/>
  </cols>
  <sheetData>
    <row r="1" spans="1:3" x14ac:dyDescent="0.25">
      <c r="A1" t="s">
        <v>22</v>
      </c>
      <c r="B1" t="s">
        <v>23</v>
      </c>
      <c r="C1" t="s">
        <v>24</v>
      </c>
    </row>
    <row r="2" spans="1:3" x14ac:dyDescent="0.25">
      <c r="A2" t="s">
        <v>25</v>
      </c>
      <c r="B2">
        <v>1958</v>
      </c>
      <c r="C2">
        <v>0</v>
      </c>
    </row>
    <row r="3" spans="1:3" x14ac:dyDescent="0.25">
      <c r="A3" t="s">
        <v>25</v>
      </c>
      <c r="B3">
        <v>1962</v>
      </c>
      <c r="C3">
        <v>4</v>
      </c>
    </row>
    <row r="4" spans="1:3" x14ac:dyDescent="0.25">
      <c r="A4" t="s">
        <v>25</v>
      </c>
      <c r="B4">
        <v>1966</v>
      </c>
      <c r="C4">
        <v>0</v>
      </c>
    </row>
    <row r="5" spans="1:3" x14ac:dyDescent="0.25">
      <c r="A5" t="s">
        <v>26</v>
      </c>
      <c r="B5">
        <v>1954</v>
      </c>
      <c r="C5">
        <v>0</v>
      </c>
    </row>
    <row r="6" spans="1:3" x14ac:dyDescent="0.25">
      <c r="A6" t="s">
        <v>26</v>
      </c>
      <c r="B6">
        <v>1960</v>
      </c>
      <c r="C6">
        <v>6</v>
      </c>
    </row>
    <row r="7" spans="1:3" x14ac:dyDescent="0.25">
      <c r="A7" t="s">
        <v>26</v>
      </c>
      <c r="B7">
        <v>1966</v>
      </c>
      <c r="C7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6B524-BFFD-41FF-A76A-836A0BD5CD2D}">
  <dimension ref="A1:J171"/>
  <sheetViews>
    <sheetView tabSelected="1" topLeftCell="A162" workbookViewId="0">
      <selection activeCell="J170" sqref="J170:J171"/>
    </sheetView>
  </sheetViews>
  <sheetFormatPr defaultRowHeight="15" x14ac:dyDescent="0.25"/>
  <cols>
    <col min="1" max="1" width="22.42578125" bestFit="1" customWidth="1"/>
    <col min="2" max="2" width="15.28515625" bestFit="1" customWidth="1"/>
    <col min="3" max="3" width="27.140625" bestFit="1" customWidth="1"/>
    <col min="4" max="4" width="16.7109375" bestFit="1" customWidth="1"/>
    <col min="5" max="5" width="13.140625" bestFit="1" customWidth="1"/>
    <col min="6" max="6" width="16.140625" bestFit="1" customWidth="1"/>
    <col min="7" max="7" width="25.140625" bestFit="1" customWidth="1"/>
    <col min="8" max="8" width="6" bestFit="1" customWidth="1"/>
    <col min="9" max="9" width="12.28515625" hidden="1" customWidth="1"/>
    <col min="10" max="10" width="6" bestFit="1" customWidth="1"/>
  </cols>
  <sheetData>
    <row r="1" spans="1:10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260</v>
      </c>
      <c r="I1" t="s">
        <v>264</v>
      </c>
      <c r="J1" t="s">
        <v>261</v>
      </c>
    </row>
    <row r="2" spans="1:10" x14ac:dyDescent="0.25">
      <c r="A2" t="s">
        <v>74</v>
      </c>
      <c r="B2" t="s">
        <v>35</v>
      </c>
      <c r="C2" t="s">
        <v>36</v>
      </c>
      <c r="D2" t="s">
        <v>75</v>
      </c>
      <c r="E2" t="s">
        <v>76</v>
      </c>
      <c r="F2" t="s">
        <v>4</v>
      </c>
      <c r="G2" t="s">
        <v>77</v>
      </c>
      <c r="H2">
        <v>0.75</v>
      </c>
      <c r="I2">
        <v>1</v>
      </c>
      <c r="J2">
        <v>1</v>
      </c>
    </row>
    <row r="3" spans="1:10" x14ac:dyDescent="0.25">
      <c r="A3" t="s">
        <v>74</v>
      </c>
      <c r="B3" t="s">
        <v>35</v>
      </c>
      <c r="C3" t="s">
        <v>36</v>
      </c>
      <c r="D3" t="s">
        <v>75</v>
      </c>
      <c r="E3" t="s">
        <v>76</v>
      </c>
      <c r="F3" t="s">
        <v>4</v>
      </c>
      <c r="G3" t="s">
        <v>77</v>
      </c>
      <c r="H3">
        <v>0.75</v>
      </c>
      <c r="I3">
        <v>1</v>
      </c>
      <c r="J3" s="7">
        <v>0</v>
      </c>
    </row>
    <row r="4" spans="1:10" x14ac:dyDescent="0.25">
      <c r="A4" t="s">
        <v>70</v>
      </c>
      <c r="B4" t="s">
        <v>35</v>
      </c>
      <c r="C4" t="s">
        <v>36</v>
      </c>
      <c r="D4" t="s">
        <v>63</v>
      </c>
      <c r="E4" t="s">
        <v>71</v>
      </c>
      <c r="F4" t="s">
        <v>4</v>
      </c>
      <c r="G4" t="s">
        <v>65</v>
      </c>
      <c r="H4">
        <v>1.5</v>
      </c>
      <c r="I4">
        <v>2</v>
      </c>
      <c r="J4">
        <v>1</v>
      </c>
    </row>
    <row r="5" spans="1:10" x14ac:dyDescent="0.25">
      <c r="A5" t="s">
        <v>70</v>
      </c>
      <c r="B5" t="s">
        <v>35</v>
      </c>
      <c r="C5" t="s">
        <v>36</v>
      </c>
      <c r="D5" t="s">
        <v>63</v>
      </c>
      <c r="E5" t="s">
        <v>71</v>
      </c>
      <c r="F5" t="s">
        <v>4</v>
      </c>
      <c r="G5" t="s">
        <v>65</v>
      </c>
      <c r="H5">
        <v>1.5</v>
      </c>
      <c r="I5">
        <v>6</v>
      </c>
      <c r="J5" s="7">
        <v>0</v>
      </c>
    </row>
    <row r="6" spans="1:10" x14ac:dyDescent="0.25">
      <c r="A6" t="s">
        <v>50</v>
      </c>
      <c r="B6" t="s">
        <v>35</v>
      </c>
      <c r="C6" t="s">
        <v>36</v>
      </c>
      <c r="D6" t="s">
        <v>47</v>
      </c>
      <c r="E6" t="s">
        <v>51</v>
      </c>
      <c r="F6" t="s">
        <v>4</v>
      </c>
      <c r="G6" t="s">
        <v>49</v>
      </c>
      <c r="H6">
        <v>2.25</v>
      </c>
      <c r="I6">
        <v>3</v>
      </c>
      <c r="J6">
        <v>1</v>
      </c>
    </row>
    <row r="7" spans="1:10" x14ac:dyDescent="0.25">
      <c r="A7" t="s">
        <v>50</v>
      </c>
      <c r="B7" t="s">
        <v>35</v>
      </c>
      <c r="C7" t="s">
        <v>36</v>
      </c>
      <c r="D7" t="s">
        <v>47</v>
      </c>
      <c r="E7" t="s">
        <v>51</v>
      </c>
      <c r="F7" t="s">
        <v>4</v>
      </c>
      <c r="G7" t="s">
        <v>49</v>
      </c>
      <c r="H7">
        <v>2.25</v>
      </c>
      <c r="I7">
        <v>1</v>
      </c>
      <c r="J7" s="7">
        <v>0</v>
      </c>
    </row>
    <row r="8" spans="1:10" x14ac:dyDescent="0.25">
      <c r="A8" t="s">
        <v>117</v>
      </c>
      <c r="B8" t="s">
        <v>35</v>
      </c>
      <c r="C8" t="s">
        <v>36</v>
      </c>
      <c r="D8" t="s">
        <v>114</v>
      </c>
      <c r="E8" t="s">
        <v>118</v>
      </c>
      <c r="F8" t="s">
        <v>4</v>
      </c>
      <c r="G8" t="s">
        <v>116</v>
      </c>
      <c r="H8">
        <v>3</v>
      </c>
      <c r="I8">
        <v>4</v>
      </c>
      <c r="J8">
        <v>1</v>
      </c>
    </row>
    <row r="9" spans="1:10" x14ac:dyDescent="0.25">
      <c r="A9" t="s">
        <v>117</v>
      </c>
      <c r="B9" t="s">
        <v>35</v>
      </c>
      <c r="C9" t="s">
        <v>36</v>
      </c>
      <c r="D9" t="s">
        <v>114</v>
      </c>
      <c r="E9" t="s">
        <v>118</v>
      </c>
      <c r="F9" t="s">
        <v>4</v>
      </c>
      <c r="G9" t="s">
        <v>116</v>
      </c>
      <c r="H9">
        <v>3</v>
      </c>
      <c r="I9">
        <v>5</v>
      </c>
      <c r="J9" s="7">
        <v>0</v>
      </c>
    </row>
    <row r="10" spans="1:10" x14ac:dyDescent="0.25">
      <c r="A10" t="s">
        <v>103</v>
      </c>
      <c r="B10" t="s">
        <v>35</v>
      </c>
      <c r="C10" t="s">
        <v>36</v>
      </c>
      <c r="D10" t="s">
        <v>78</v>
      </c>
      <c r="E10" t="s">
        <v>104</v>
      </c>
      <c r="F10" t="s">
        <v>4</v>
      </c>
      <c r="G10" t="s">
        <v>79</v>
      </c>
      <c r="H10">
        <v>3.75</v>
      </c>
      <c r="I10">
        <v>5</v>
      </c>
      <c r="J10">
        <v>1</v>
      </c>
    </row>
    <row r="11" spans="1:10" x14ac:dyDescent="0.25">
      <c r="A11" t="s">
        <v>103</v>
      </c>
      <c r="B11" t="s">
        <v>35</v>
      </c>
      <c r="C11" t="s">
        <v>36</v>
      </c>
      <c r="D11" t="s">
        <v>78</v>
      </c>
      <c r="E11" t="s">
        <v>104</v>
      </c>
      <c r="F11" t="s">
        <v>4</v>
      </c>
      <c r="G11" t="s">
        <v>79</v>
      </c>
      <c r="H11">
        <v>3.75</v>
      </c>
      <c r="I11">
        <v>0</v>
      </c>
      <c r="J11" s="7">
        <v>0</v>
      </c>
    </row>
    <row r="12" spans="1:10" x14ac:dyDescent="0.25">
      <c r="A12" t="s">
        <v>66</v>
      </c>
      <c r="B12" t="s">
        <v>35</v>
      </c>
      <c r="C12" t="s">
        <v>36</v>
      </c>
      <c r="D12" t="s">
        <v>63</v>
      </c>
      <c r="E12" t="s">
        <v>67</v>
      </c>
      <c r="F12" t="s">
        <v>4</v>
      </c>
      <c r="G12" t="s">
        <v>65</v>
      </c>
      <c r="H12">
        <v>4.5</v>
      </c>
      <c r="I12">
        <v>6</v>
      </c>
      <c r="J12">
        <v>1</v>
      </c>
    </row>
    <row r="13" spans="1:10" x14ac:dyDescent="0.25">
      <c r="A13" t="s">
        <v>66</v>
      </c>
      <c r="B13" t="s">
        <v>35</v>
      </c>
      <c r="C13" t="s">
        <v>36</v>
      </c>
      <c r="D13" t="s">
        <v>63</v>
      </c>
      <c r="E13" t="s">
        <v>67</v>
      </c>
      <c r="F13" t="s">
        <v>4</v>
      </c>
      <c r="G13" t="s">
        <v>65</v>
      </c>
      <c r="H13">
        <v>4.5</v>
      </c>
      <c r="I13">
        <v>4</v>
      </c>
      <c r="J13" s="7">
        <v>0</v>
      </c>
    </row>
    <row r="14" spans="1:10" x14ac:dyDescent="0.25">
      <c r="A14" t="s">
        <v>129</v>
      </c>
      <c r="B14" t="s">
        <v>35</v>
      </c>
      <c r="C14" t="s">
        <v>36</v>
      </c>
      <c r="D14" t="s">
        <v>125</v>
      </c>
      <c r="E14" t="s">
        <v>130</v>
      </c>
      <c r="F14" t="s">
        <v>4</v>
      </c>
      <c r="G14" t="s">
        <v>126</v>
      </c>
      <c r="H14">
        <v>5.25</v>
      </c>
      <c r="I14">
        <v>7</v>
      </c>
      <c r="J14">
        <v>1</v>
      </c>
    </row>
    <row r="15" spans="1:10" x14ac:dyDescent="0.25">
      <c r="A15" t="s">
        <v>129</v>
      </c>
      <c r="B15" t="s">
        <v>35</v>
      </c>
      <c r="C15" t="s">
        <v>36</v>
      </c>
      <c r="D15" t="s">
        <v>125</v>
      </c>
      <c r="E15" t="s">
        <v>130</v>
      </c>
      <c r="F15" t="s">
        <v>4</v>
      </c>
      <c r="G15" t="s">
        <v>126</v>
      </c>
      <c r="H15">
        <v>5.25</v>
      </c>
      <c r="I15">
        <v>0</v>
      </c>
      <c r="J15" s="7">
        <v>0</v>
      </c>
    </row>
    <row r="16" spans="1:10" x14ac:dyDescent="0.25">
      <c r="A16" t="s">
        <v>52</v>
      </c>
      <c r="B16" t="s">
        <v>35</v>
      </c>
      <c r="C16" t="s">
        <v>36</v>
      </c>
      <c r="D16" t="s">
        <v>53</v>
      </c>
      <c r="E16" t="s">
        <v>54</v>
      </c>
      <c r="F16" t="s">
        <v>4</v>
      </c>
      <c r="G16" t="s">
        <v>55</v>
      </c>
      <c r="H16">
        <v>6</v>
      </c>
      <c r="I16">
        <v>8</v>
      </c>
      <c r="J16">
        <v>1</v>
      </c>
    </row>
    <row r="17" spans="1:10" x14ac:dyDescent="0.25">
      <c r="A17" t="s">
        <v>52</v>
      </c>
      <c r="B17" t="s">
        <v>35</v>
      </c>
      <c r="C17" t="s">
        <v>36</v>
      </c>
      <c r="D17" t="s">
        <v>53</v>
      </c>
      <c r="E17" t="s">
        <v>54</v>
      </c>
      <c r="F17" t="s">
        <v>4</v>
      </c>
      <c r="G17" t="s">
        <v>55</v>
      </c>
      <c r="H17">
        <v>6</v>
      </c>
      <c r="I17">
        <v>2</v>
      </c>
      <c r="J17" s="7">
        <v>0</v>
      </c>
    </row>
    <row r="18" spans="1:10" x14ac:dyDescent="0.25">
      <c r="A18" t="s">
        <v>131</v>
      </c>
      <c r="B18" t="s">
        <v>35</v>
      </c>
      <c r="C18" t="s">
        <v>36</v>
      </c>
      <c r="D18" t="s">
        <v>60</v>
      </c>
      <c r="E18" t="s">
        <v>263</v>
      </c>
      <c r="F18" t="s">
        <v>4</v>
      </c>
      <c r="G18" t="s">
        <v>61</v>
      </c>
      <c r="H18">
        <v>6.75</v>
      </c>
      <c r="I18">
        <v>9</v>
      </c>
      <c r="J18">
        <v>1</v>
      </c>
    </row>
    <row r="19" spans="1:10" x14ac:dyDescent="0.25">
      <c r="A19" t="s">
        <v>131</v>
      </c>
      <c r="B19" t="s">
        <v>35</v>
      </c>
      <c r="C19" t="s">
        <v>36</v>
      </c>
      <c r="D19" t="s">
        <v>60</v>
      </c>
      <c r="E19" t="s">
        <v>263</v>
      </c>
      <c r="F19" t="s">
        <v>4</v>
      </c>
      <c r="G19" t="s">
        <v>61</v>
      </c>
      <c r="H19">
        <v>6.75</v>
      </c>
      <c r="I19">
        <v>5</v>
      </c>
      <c r="J19" s="7">
        <v>0</v>
      </c>
    </row>
    <row r="20" spans="1:10" x14ac:dyDescent="0.25">
      <c r="A20" t="s">
        <v>26</v>
      </c>
      <c r="B20" t="s">
        <v>35</v>
      </c>
      <c r="C20" t="s">
        <v>36</v>
      </c>
      <c r="D20" t="s">
        <v>85</v>
      </c>
      <c r="E20" t="s">
        <v>88</v>
      </c>
      <c r="F20" t="s">
        <v>4</v>
      </c>
      <c r="G20" t="s">
        <v>87</v>
      </c>
      <c r="H20">
        <v>7.5</v>
      </c>
      <c r="I20">
        <v>10</v>
      </c>
      <c r="J20">
        <v>1</v>
      </c>
    </row>
    <row r="21" spans="1:10" x14ac:dyDescent="0.25">
      <c r="A21" t="s">
        <v>26</v>
      </c>
      <c r="B21" t="s">
        <v>35</v>
      </c>
      <c r="C21" t="s">
        <v>36</v>
      </c>
      <c r="D21" t="s">
        <v>85</v>
      </c>
      <c r="E21" t="s">
        <v>88</v>
      </c>
      <c r="F21" t="s">
        <v>4</v>
      </c>
      <c r="G21" t="s">
        <v>87</v>
      </c>
      <c r="H21">
        <v>7.5</v>
      </c>
      <c r="I21">
        <v>2</v>
      </c>
      <c r="J21" s="7">
        <v>0</v>
      </c>
    </row>
    <row r="22" spans="1:10" x14ac:dyDescent="0.25">
      <c r="A22" t="s">
        <v>111</v>
      </c>
      <c r="B22" t="s">
        <v>35</v>
      </c>
      <c r="C22" t="s">
        <v>36</v>
      </c>
      <c r="D22" t="s">
        <v>78</v>
      </c>
      <c r="E22" t="s">
        <v>112</v>
      </c>
      <c r="F22" t="s">
        <v>4</v>
      </c>
      <c r="G22" t="s">
        <v>79</v>
      </c>
      <c r="H22">
        <v>8.25</v>
      </c>
      <c r="I22">
        <v>11</v>
      </c>
      <c r="J22">
        <v>1</v>
      </c>
    </row>
    <row r="23" spans="1:10" x14ac:dyDescent="0.25">
      <c r="A23" t="s">
        <v>111</v>
      </c>
      <c r="B23" t="s">
        <v>35</v>
      </c>
      <c r="C23" t="s">
        <v>36</v>
      </c>
      <c r="D23" t="s">
        <v>78</v>
      </c>
      <c r="E23" t="s">
        <v>112</v>
      </c>
      <c r="F23" t="s">
        <v>4</v>
      </c>
      <c r="G23" t="s">
        <v>79</v>
      </c>
      <c r="H23">
        <v>8.25</v>
      </c>
      <c r="I23">
        <v>2</v>
      </c>
      <c r="J23" s="7">
        <v>0</v>
      </c>
    </row>
    <row r="24" spans="1:10" x14ac:dyDescent="0.25">
      <c r="A24" t="s">
        <v>93</v>
      </c>
      <c r="B24" t="s">
        <v>35</v>
      </c>
      <c r="C24" t="s">
        <v>36</v>
      </c>
      <c r="D24" t="s">
        <v>63</v>
      </c>
      <c r="E24" t="s">
        <v>94</v>
      </c>
      <c r="F24" t="s">
        <v>4</v>
      </c>
      <c r="G24" t="s">
        <v>65</v>
      </c>
      <c r="H24">
        <v>9</v>
      </c>
      <c r="I24">
        <v>12</v>
      </c>
      <c r="J24">
        <v>1</v>
      </c>
    </row>
    <row r="25" spans="1:10" x14ac:dyDescent="0.25">
      <c r="A25" t="s">
        <v>93</v>
      </c>
      <c r="B25" t="s">
        <v>35</v>
      </c>
      <c r="C25" t="s">
        <v>36</v>
      </c>
      <c r="D25" t="s">
        <v>63</v>
      </c>
      <c r="E25" t="s">
        <v>94</v>
      </c>
      <c r="F25" t="s">
        <v>4</v>
      </c>
      <c r="G25" t="s">
        <v>65</v>
      </c>
      <c r="H25">
        <v>9</v>
      </c>
      <c r="I25">
        <v>1</v>
      </c>
      <c r="J25" s="7">
        <v>0</v>
      </c>
    </row>
    <row r="26" spans="1:10" x14ac:dyDescent="0.25">
      <c r="A26" t="s">
        <v>62</v>
      </c>
      <c r="B26" t="s">
        <v>35</v>
      </c>
      <c r="C26" t="s">
        <v>36</v>
      </c>
      <c r="D26" t="s">
        <v>63</v>
      </c>
      <c r="E26" t="s">
        <v>64</v>
      </c>
      <c r="F26" t="s">
        <v>4</v>
      </c>
      <c r="G26" t="s">
        <v>65</v>
      </c>
      <c r="H26">
        <v>9.75</v>
      </c>
      <c r="I26">
        <v>13</v>
      </c>
      <c r="J26">
        <v>1</v>
      </c>
    </row>
    <row r="27" spans="1:10" x14ac:dyDescent="0.25">
      <c r="A27" t="s">
        <v>62</v>
      </c>
      <c r="B27" t="s">
        <v>35</v>
      </c>
      <c r="C27" t="s">
        <v>36</v>
      </c>
      <c r="D27" t="s">
        <v>63</v>
      </c>
      <c r="E27" t="s">
        <v>64</v>
      </c>
      <c r="F27" t="s">
        <v>4</v>
      </c>
      <c r="G27" t="s">
        <v>65</v>
      </c>
      <c r="H27">
        <v>9.75</v>
      </c>
      <c r="I27">
        <v>1</v>
      </c>
      <c r="J27" s="7">
        <v>0</v>
      </c>
    </row>
    <row r="28" spans="1:10" x14ac:dyDescent="0.25">
      <c r="A28" t="s">
        <v>42</v>
      </c>
      <c r="B28" t="s">
        <v>35</v>
      </c>
      <c r="C28" t="s">
        <v>36</v>
      </c>
      <c r="D28" t="s">
        <v>43</v>
      </c>
      <c r="E28" t="s">
        <v>44</v>
      </c>
      <c r="F28" t="s">
        <v>4</v>
      </c>
      <c r="G28" t="s">
        <v>45</v>
      </c>
      <c r="H28">
        <v>10.5</v>
      </c>
      <c r="I28">
        <v>14</v>
      </c>
      <c r="J28">
        <v>1</v>
      </c>
    </row>
    <row r="29" spans="1:10" x14ac:dyDescent="0.25">
      <c r="A29" t="s">
        <v>42</v>
      </c>
      <c r="B29" t="s">
        <v>35</v>
      </c>
      <c r="C29" t="s">
        <v>36</v>
      </c>
      <c r="D29" t="s">
        <v>43</v>
      </c>
      <c r="E29" t="s">
        <v>44</v>
      </c>
      <c r="F29" t="s">
        <v>4</v>
      </c>
      <c r="G29" t="s">
        <v>45</v>
      </c>
      <c r="H29">
        <v>10.5</v>
      </c>
      <c r="I29">
        <v>5</v>
      </c>
      <c r="J29" s="7">
        <v>0</v>
      </c>
    </row>
    <row r="30" spans="1:10" x14ac:dyDescent="0.25">
      <c r="A30" t="s">
        <v>123</v>
      </c>
      <c r="B30" t="s">
        <v>35</v>
      </c>
      <c r="C30" t="s">
        <v>36</v>
      </c>
      <c r="D30" t="s">
        <v>98</v>
      </c>
      <c r="E30" t="s">
        <v>124</v>
      </c>
      <c r="F30" t="s">
        <v>4</v>
      </c>
      <c r="G30" t="s">
        <v>100</v>
      </c>
      <c r="H30">
        <v>11.25</v>
      </c>
      <c r="I30">
        <v>15</v>
      </c>
      <c r="J30">
        <v>1</v>
      </c>
    </row>
    <row r="31" spans="1:10" x14ac:dyDescent="0.25">
      <c r="A31" t="s">
        <v>123</v>
      </c>
      <c r="B31" t="s">
        <v>35</v>
      </c>
      <c r="C31" t="s">
        <v>36</v>
      </c>
      <c r="D31" t="s">
        <v>98</v>
      </c>
      <c r="E31" t="s">
        <v>124</v>
      </c>
      <c r="F31" t="s">
        <v>4</v>
      </c>
      <c r="G31" t="s">
        <v>100</v>
      </c>
      <c r="H31">
        <v>11.25</v>
      </c>
      <c r="I31">
        <v>6</v>
      </c>
      <c r="J31" s="7">
        <v>0</v>
      </c>
    </row>
    <row r="32" spans="1:10" x14ac:dyDescent="0.25">
      <c r="A32" t="s">
        <v>113</v>
      </c>
      <c r="B32" t="s">
        <v>35</v>
      </c>
      <c r="C32" t="s">
        <v>36</v>
      </c>
      <c r="D32" t="s">
        <v>114</v>
      </c>
      <c r="E32" t="s">
        <v>115</v>
      </c>
      <c r="F32" t="s">
        <v>4</v>
      </c>
      <c r="G32" t="s">
        <v>116</v>
      </c>
      <c r="H32">
        <v>12</v>
      </c>
      <c r="I32">
        <v>16</v>
      </c>
      <c r="J32">
        <v>1</v>
      </c>
    </row>
    <row r="33" spans="1:10" x14ac:dyDescent="0.25">
      <c r="A33" t="s">
        <v>113</v>
      </c>
      <c r="B33" t="s">
        <v>35</v>
      </c>
      <c r="C33" t="s">
        <v>36</v>
      </c>
      <c r="D33" t="s">
        <v>114</v>
      </c>
      <c r="E33" t="s">
        <v>115</v>
      </c>
      <c r="F33" t="s">
        <v>4</v>
      </c>
      <c r="G33" t="s">
        <v>116</v>
      </c>
      <c r="H33">
        <v>12</v>
      </c>
      <c r="I33">
        <v>1</v>
      </c>
      <c r="J33" s="7">
        <v>0</v>
      </c>
    </row>
    <row r="34" spans="1:10" x14ac:dyDescent="0.25">
      <c r="A34" t="s">
        <v>40</v>
      </c>
      <c r="B34" t="s">
        <v>35</v>
      </c>
      <c r="C34" t="s">
        <v>36</v>
      </c>
      <c r="D34" t="s">
        <v>37</v>
      </c>
      <c r="E34" t="s">
        <v>41</v>
      </c>
      <c r="F34" t="s">
        <v>4</v>
      </c>
      <c r="G34" t="s">
        <v>39</v>
      </c>
      <c r="H34">
        <v>12.75</v>
      </c>
      <c r="I34">
        <v>17</v>
      </c>
      <c r="J34">
        <v>1</v>
      </c>
    </row>
    <row r="35" spans="1:10" x14ac:dyDescent="0.25">
      <c r="A35" t="s">
        <v>40</v>
      </c>
      <c r="B35" t="s">
        <v>35</v>
      </c>
      <c r="C35" t="s">
        <v>36</v>
      </c>
      <c r="D35" t="s">
        <v>37</v>
      </c>
      <c r="E35" t="s">
        <v>41</v>
      </c>
      <c r="F35" t="s">
        <v>4</v>
      </c>
      <c r="G35" t="s">
        <v>39</v>
      </c>
      <c r="H35">
        <v>12.75</v>
      </c>
      <c r="I35">
        <v>0</v>
      </c>
      <c r="J35" s="7">
        <v>0</v>
      </c>
    </row>
    <row r="36" spans="1:10" x14ac:dyDescent="0.25">
      <c r="A36" t="s">
        <v>133</v>
      </c>
      <c r="B36" t="s">
        <v>35</v>
      </c>
      <c r="C36" t="s">
        <v>36</v>
      </c>
      <c r="D36" t="s">
        <v>107</v>
      </c>
      <c r="E36" t="s">
        <v>134</v>
      </c>
      <c r="F36" t="s">
        <v>132</v>
      </c>
      <c r="G36" t="s">
        <v>108</v>
      </c>
      <c r="H36">
        <v>13.5</v>
      </c>
      <c r="I36">
        <v>18</v>
      </c>
      <c r="J36">
        <v>1</v>
      </c>
    </row>
    <row r="37" spans="1:10" x14ac:dyDescent="0.25">
      <c r="A37" t="s">
        <v>133</v>
      </c>
      <c r="B37" t="s">
        <v>35</v>
      </c>
      <c r="C37" t="s">
        <v>36</v>
      </c>
      <c r="D37" t="s">
        <v>107</v>
      </c>
      <c r="E37" t="s">
        <v>134</v>
      </c>
      <c r="F37" t="s">
        <v>132</v>
      </c>
      <c r="G37" t="s">
        <v>108</v>
      </c>
      <c r="H37">
        <v>13.5</v>
      </c>
      <c r="I37">
        <v>3</v>
      </c>
      <c r="J37" s="7">
        <v>0</v>
      </c>
    </row>
    <row r="38" spans="1:10" x14ac:dyDescent="0.25">
      <c r="A38" t="s">
        <v>80</v>
      </c>
      <c r="B38" t="s">
        <v>35</v>
      </c>
      <c r="C38" t="s">
        <v>36</v>
      </c>
      <c r="D38" t="s">
        <v>81</v>
      </c>
      <c r="E38" t="s">
        <v>82</v>
      </c>
      <c r="F38" t="s">
        <v>4</v>
      </c>
      <c r="G38" t="s">
        <v>83</v>
      </c>
      <c r="H38">
        <v>14.25</v>
      </c>
      <c r="I38">
        <v>19</v>
      </c>
      <c r="J38">
        <v>1</v>
      </c>
    </row>
    <row r="39" spans="1:10" x14ac:dyDescent="0.25">
      <c r="A39" t="s">
        <v>80</v>
      </c>
      <c r="B39" t="s">
        <v>35</v>
      </c>
      <c r="C39" t="s">
        <v>36</v>
      </c>
      <c r="D39" t="s">
        <v>81</v>
      </c>
      <c r="E39" t="s">
        <v>82</v>
      </c>
      <c r="F39" t="s">
        <v>4</v>
      </c>
      <c r="G39" t="s">
        <v>83</v>
      </c>
      <c r="H39">
        <v>14.25</v>
      </c>
      <c r="I39">
        <v>2</v>
      </c>
      <c r="J39" s="7">
        <v>0</v>
      </c>
    </row>
    <row r="40" spans="1:10" x14ac:dyDescent="0.25">
      <c r="A40" t="s">
        <v>215</v>
      </c>
      <c r="B40" t="s">
        <v>192</v>
      </c>
      <c r="C40" t="s">
        <v>36</v>
      </c>
      <c r="D40" t="s">
        <v>47</v>
      </c>
      <c r="E40" t="s">
        <v>216</v>
      </c>
      <c r="F40" t="s">
        <v>4</v>
      </c>
      <c r="G40" t="s">
        <v>49</v>
      </c>
      <c r="H40">
        <v>15</v>
      </c>
      <c r="I40">
        <v>20</v>
      </c>
      <c r="J40">
        <v>1</v>
      </c>
    </row>
    <row r="41" spans="1:10" hidden="1" x14ac:dyDescent="0.25">
      <c r="A41" t="s">
        <v>229</v>
      </c>
      <c r="B41" t="s">
        <v>199</v>
      </c>
      <c r="C41" t="s">
        <v>230</v>
      </c>
      <c r="D41" t="s">
        <v>78</v>
      </c>
      <c r="E41" t="s">
        <v>231</v>
      </c>
      <c r="F41" t="s">
        <v>4</v>
      </c>
      <c r="G41" t="s">
        <v>79</v>
      </c>
      <c r="H41">
        <v>0.5</v>
      </c>
      <c r="I41">
        <v>0.5</v>
      </c>
      <c r="J41">
        <v>1</v>
      </c>
    </row>
    <row r="42" spans="1:10" hidden="1" x14ac:dyDescent="0.25">
      <c r="A42" t="s">
        <v>227</v>
      </c>
      <c r="B42" t="s">
        <v>163</v>
      </c>
      <c r="C42" t="s">
        <v>164</v>
      </c>
      <c r="D42" t="s">
        <v>125</v>
      </c>
      <c r="E42" t="s">
        <v>228</v>
      </c>
      <c r="F42" t="s">
        <v>4</v>
      </c>
      <c r="G42" t="s">
        <v>126</v>
      </c>
      <c r="H42">
        <v>0.25</v>
      </c>
      <c r="I42">
        <v>1</v>
      </c>
      <c r="J42">
        <v>1</v>
      </c>
    </row>
    <row r="43" spans="1:10" hidden="1" x14ac:dyDescent="0.25">
      <c r="A43" t="s">
        <v>227</v>
      </c>
      <c r="B43" t="s">
        <v>163</v>
      </c>
      <c r="C43" t="s">
        <v>164</v>
      </c>
      <c r="D43" t="s">
        <v>125</v>
      </c>
      <c r="E43" t="s">
        <v>228</v>
      </c>
      <c r="F43" t="s">
        <v>4</v>
      </c>
      <c r="G43" t="s">
        <v>126</v>
      </c>
      <c r="H43">
        <v>0.25</v>
      </c>
      <c r="I43">
        <v>1</v>
      </c>
      <c r="J43" s="7">
        <v>0</v>
      </c>
    </row>
    <row r="44" spans="1:10" hidden="1" x14ac:dyDescent="0.25">
      <c r="A44" t="s">
        <v>244</v>
      </c>
      <c r="B44" t="s">
        <v>163</v>
      </c>
      <c r="C44" t="s">
        <v>164</v>
      </c>
      <c r="D44" t="s">
        <v>125</v>
      </c>
      <c r="E44" t="s">
        <v>245</v>
      </c>
      <c r="F44" t="s">
        <v>4</v>
      </c>
      <c r="G44" t="s">
        <v>126</v>
      </c>
      <c r="H44">
        <v>0.5</v>
      </c>
      <c r="I44">
        <v>2</v>
      </c>
      <c r="J44">
        <v>1</v>
      </c>
    </row>
    <row r="45" spans="1:10" hidden="1" x14ac:dyDescent="0.25">
      <c r="A45" t="s">
        <v>244</v>
      </c>
      <c r="B45" t="s">
        <v>163</v>
      </c>
      <c r="C45" t="s">
        <v>164</v>
      </c>
      <c r="D45" t="s">
        <v>125</v>
      </c>
      <c r="E45" t="s">
        <v>245</v>
      </c>
      <c r="F45" t="s">
        <v>4</v>
      </c>
      <c r="G45" t="s">
        <v>126</v>
      </c>
      <c r="H45">
        <v>0.5</v>
      </c>
      <c r="I45">
        <v>5</v>
      </c>
      <c r="J45" s="7">
        <v>0</v>
      </c>
    </row>
    <row r="46" spans="1:10" hidden="1" x14ac:dyDescent="0.25">
      <c r="A46" t="s">
        <v>186</v>
      </c>
      <c r="B46" t="s">
        <v>163</v>
      </c>
      <c r="C46" t="s">
        <v>164</v>
      </c>
      <c r="D46" t="s">
        <v>107</v>
      </c>
      <c r="E46" t="s">
        <v>187</v>
      </c>
      <c r="F46" t="s">
        <v>132</v>
      </c>
      <c r="G46" t="s">
        <v>108</v>
      </c>
      <c r="H46">
        <v>0.75</v>
      </c>
      <c r="I46">
        <v>3</v>
      </c>
      <c r="J46">
        <v>1</v>
      </c>
    </row>
    <row r="47" spans="1:10" hidden="1" x14ac:dyDescent="0.25">
      <c r="A47" t="s">
        <v>186</v>
      </c>
      <c r="B47" t="s">
        <v>163</v>
      </c>
      <c r="C47" t="s">
        <v>164</v>
      </c>
      <c r="D47" t="s">
        <v>107</v>
      </c>
      <c r="E47" t="s">
        <v>187</v>
      </c>
      <c r="F47" t="s">
        <v>132</v>
      </c>
      <c r="G47" t="s">
        <v>108</v>
      </c>
      <c r="H47">
        <v>0.75</v>
      </c>
      <c r="I47">
        <v>4</v>
      </c>
      <c r="J47" s="7">
        <v>0</v>
      </c>
    </row>
    <row r="48" spans="1:10" hidden="1" x14ac:dyDescent="0.25">
      <c r="A48" t="s">
        <v>254</v>
      </c>
      <c r="B48" t="s">
        <v>163</v>
      </c>
      <c r="C48" t="s">
        <v>164</v>
      </c>
      <c r="D48" t="s">
        <v>53</v>
      </c>
      <c r="E48" t="s">
        <v>255</v>
      </c>
      <c r="F48" t="s">
        <v>4</v>
      </c>
      <c r="G48" t="s">
        <v>55</v>
      </c>
      <c r="H48">
        <v>1</v>
      </c>
      <c r="I48">
        <v>4</v>
      </c>
      <c r="J48">
        <v>1</v>
      </c>
    </row>
    <row r="49" spans="1:10" hidden="1" x14ac:dyDescent="0.25">
      <c r="A49" t="s">
        <v>254</v>
      </c>
      <c r="B49" t="s">
        <v>163</v>
      </c>
      <c r="C49" t="s">
        <v>164</v>
      </c>
      <c r="D49" t="s">
        <v>53</v>
      </c>
      <c r="E49" t="s">
        <v>255</v>
      </c>
      <c r="F49" t="s">
        <v>4</v>
      </c>
      <c r="G49" t="s">
        <v>55</v>
      </c>
      <c r="H49">
        <v>1</v>
      </c>
      <c r="I49">
        <v>2</v>
      </c>
      <c r="J49" s="7">
        <v>0</v>
      </c>
    </row>
    <row r="50" spans="1:10" hidden="1" x14ac:dyDescent="0.25">
      <c r="A50" t="s">
        <v>184</v>
      </c>
      <c r="B50" t="s">
        <v>163</v>
      </c>
      <c r="C50" t="s">
        <v>164</v>
      </c>
      <c r="D50" t="s">
        <v>114</v>
      </c>
      <c r="E50" t="s">
        <v>185</v>
      </c>
      <c r="F50" t="s">
        <v>7</v>
      </c>
      <c r="G50" t="s">
        <v>116</v>
      </c>
      <c r="H50">
        <v>1.25</v>
      </c>
      <c r="I50">
        <v>5</v>
      </c>
      <c r="J50">
        <v>1</v>
      </c>
    </row>
    <row r="51" spans="1:10" hidden="1" x14ac:dyDescent="0.25">
      <c r="A51" t="s">
        <v>184</v>
      </c>
      <c r="B51" t="s">
        <v>163</v>
      </c>
      <c r="C51" t="s">
        <v>164</v>
      </c>
      <c r="D51" t="s">
        <v>114</v>
      </c>
      <c r="E51" t="s">
        <v>185</v>
      </c>
      <c r="F51" t="s">
        <v>7</v>
      </c>
      <c r="G51" t="s">
        <v>116</v>
      </c>
      <c r="H51">
        <v>1.25</v>
      </c>
      <c r="I51">
        <v>1</v>
      </c>
      <c r="J51" s="7">
        <v>0</v>
      </c>
    </row>
    <row r="52" spans="1:10" hidden="1" x14ac:dyDescent="0.25">
      <c r="A52" t="s">
        <v>210</v>
      </c>
      <c r="B52" t="s">
        <v>163</v>
      </c>
      <c r="C52" t="s">
        <v>164</v>
      </c>
      <c r="D52" t="s">
        <v>142</v>
      </c>
      <c r="E52" t="s">
        <v>211</v>
      </c>
      <c r="F52" t="s">
        <v>7</v>
      </c>
      <c r="G52" t="s">
        <v>143</v>
      </c>
      <c r="H52">
        <v>1.5</v>
      </c>
      <c r="I52">
        <v>6</v>
      </c>
      <c r="J52">
        <v>1</v>
      </c>
    </row>
    <row r="53" spans="1:10" hidden="1" x14ac:dyDescent="0.25">
      <c r="A53" t="s">
        <v>210</v>
      </c>
      <c r="B53" t="s">
        <v>163</v>
      </c>
      <c r="C53" t="s">
        <v>164</v>
      </c>
      <c r="D53" t="s">
        <v>142</v>
      </c>
      <c r="E53" t="s">
        <v>211</v>
      </c>
      <c r="F53" t="s">
        <v>7</v>
      </c>
      <c r="G53" t="s">
        <v>143</v>
      </c>
      <c r="H53">
        <v>1.5</v>
      </c>
      <c r="I53">
        <v>2</v>
      </c>
      <c r="J53" s="7">
        <v>0</v>
      </c>
    </row>
    <row r="54" spans="1:10" hidden="1" x14ac:dyDescent="0.25">
      <c r="A54" t="s">
        <v>182</v>
      </c>
      <c r="B54" t="s">
        <v>163</v>
      </c>
      <c r="C54" t="s">
        <v>164</v>
      </c>
      <c r="D54" t="s">
        <v>78</v>
      </c>
      <c r="E54" t="s">
        <v>183</v>
      </c>
      <c r="F54" t="s">
        <v>132</v>
      </c>
      <c r="G54" t="s">
        <v>79</v>
      </c>
      <c r="H54">
        <v>1.75</v>
      </c>
      <c r="I54">
        <v>7</v>
      </c>
      <c r="J54">
        <v>1</v>
      </c>
    </row>
    <row r="55" spans="1:10" hidden="1" x14ac:dyDescent="0.25">
      <c r="A55" t="s">
        <v>252</v>
      </c>
      <c r="B55" t="s">
        <v>171</v>
      </c>
      <c r="C55" t="s">
        <v>172</v>
      </c>
      <c r="D55" t="s">
        <v>85</v>
      </c>
      <c r="E55" t="s">
        <v>253</v>
      </c>
      <c r="F55" t="s">
        <v>4</v>
      </c>
      <c r="G55" t="s">
        <v>87</v>
      </c>
      <c r="H55">
        <v>0.28000000000000003</v>
      </c>
      <c r="I55">
        <v>1</v>
      </c>
      <c r="J55">
        <v>1</v>
      </c>
    </row>
    <row r="56" spans="1:10" hidden="1" x14ac:dyDescent="0.25">
      <c r="A56" t="s">
        <v>252</v>
      </c>
      <c r="B56" t="s">
        <v>171</v>
      </c>
      <c r="C56" t="s">
        <v>172</v>
      </c>
      <c r="D56" t="s">
        <v>85</v>
      </c>
      <c r="E56" t="s">
        <v>253</v>
      </c>
      <c r="F56" t="s">
        <v>4</v>
      </c>
      <c r="G56" t="s">
        <v>87</v>
      </c>
      <c r="H56">
        <v>0.28000000000000003</v>
      </c>
      <c r="I56">
        <v>3</v>
      </c>
      <c r="J56" s="7">
        <v>0</v>
      </c>
    </row>
    <row r="57" spans="1:10" hidden="1" x14ac:dyDescent="0.25">
      <c r="A57" t="s">
        <v>188</v>
      </c>
      <c r="B57" t="s">
        <v>189</v>
      </c>
      <c r="C57" t="s">
        <v>172</v>
      </c>
      <c r="D57" t="s">
        <v>107</v>
      </c>
      <c r="E57" t="s">
        <v>190</v>
      </c>
      <c r="F57" t="s">
        <v>7</v>
      </c>
      <c r="G57" t="s">
        <v>108</v>
      </c>
      <c r="H57">
        <v>0.56000000000000005</v>
      </c>
      <c r="I57">
        <v>2</v>
      </c>
      <c r="J57">
        <v>1</v>
      </c>
    </row>
    <row r="58" spans="1:10" hidden="1" x14ac:dyDescent="0.25">
      <c r="A58" t="s">
        <v>188</v>
      </c>
      <c r="B58" t="s">
        <v>189</v>
      </c>
      <c r="C58" t="s">
        <v>172</v>
      </c>
      <c r="D58" t="s">
        <v>107</v>
      </c>
      <c r="E58" t="s">
        <v>190</v>
      </c>
      <c r="F58" t="s">
        <v>7</v>
      </c>
      <c r="G58" t="s">
        <v>108</v>
      </c>
      <c r="H58">
        <v>0.56000000000000005</v>
      </c>
      <c r="I58">
        <v>4</v>
      </c>
      <c r="J58" s="7">
        <v>0</v>
      </c>
    </row>
    <row r="59" spans="1:10" hidden="1" x14ac:dyDescent="0.25">
      <c r="A59" t="s">
        <v>207</v>
      </c>
      <c r="B59" t="s">
        <v>208</v>
      </c>
      <c r="C59" t="s">
        <v>172</v>
      </c>
      <c r="D59" t="s">
        <v>144</v>
      </c>
      <c r="E59" t="s">
        <v>209</v>
      </c>
      <c r="F59" t="s">
        <v>132</v>
      </c>
      <c r="G59" t="s">
        <v>145</v>
      </c>
      <c r="H59">
        <v>0.84000000000000008</v>
      </c>
      <c r="I59">
        <v>3</v>
      </c>
      <c r="J59">
        <v>1</v>
      </c>
    </row>
    <row r="60" spans="1:10" hidden="1" x14ac:dyDescent="0.25">
      <c r="A60" t="s">
        <v>207</v>
      </c>
      <c r="B60" t="s">
        <v>208</v>
      </c>
      <c r="C60" t="s">
        <v>172</v>
      </c>
      <c r="D60" t="s">
        <v>144</v>
      </c>
      <c r="E60" t="s">
        <v>209</v>
      </c>
      <c r="F60" t="s">
        <v>132</v>
      </c>
      <c r="G60" t="s">
        <v>145</v>
      </c>
      <c r="H60">
        <v>0.84000000000000008</v>
      </c>
      <c r="I60">
        <v>6</v>
      </c>
      <c r="J60" s="7">
        <v>0</v>
      </c>
    </row>
    <row r="61" spans="1:10" hidden="1" x14ac:dyDescent="0.25">
      <c r="A61" t="s">
        <v>219</v>
      </c>
      <c r="B61" t="s">
        <v>189</v>
      </c>
      <c r="C61" t="s">
        <v>172</v>
      </c>
      <c r="D61" t="s">
        <v>63</v>
      </c>
      <c r="E61" t="s">
        <v>220</v>
      </c>
      <c r="F61" t="s">
        <v>4</v>
      </c>
      <c r="G61" t="s">
        <v>65</v>
      </c>
      <c r="H61">
        <v>1.1200000000000001</v>
      </c>
      <c r="I61">
        <v>4</v>
      </c>
      <c r="J61">
        <v>1</v>
      </c>
    </row>
    <row r="62" spans="1:10" hidden="1" x14ac:dyDescent="0.25">
      <c r="A62" t="s">
        <v>219</v>
      </c>
      <c r="B62" t="s">
        <v>189</v>
      </c>
      <c r="C62" t="s">
        <v>172</v>
      </c>
      <c r="D62" t="s">
        <v>63</v>
      </c>
      <c r="E62" t="s">
        <v>220</v>
      </c>
      <c r="F62" t="s">
        <v>4</v>
      </c>
      <c r="G62" t="s">
        <v>65</v>
      </c>
      <c r="H62">
        <v>1.1200000000000001</v>
      </c>
      <c r="I62">
        <v>2</v>
      </c>
      <c r="J62" s="7">
        <v>0</v>
      </c>
    </row>
    <row r="63" spans="1:10" hidden="1" x14ac:dyDescent="0.25">
      <c r="A63" t="s">
        <v>232</v>
      </c>
      <c r="B63" t="s">
        <v>208</v>
      </c>
      <c r="C63" t="s">
        <v>172</v>
      </c>
      <c r="D63" t="s">
        <v>53</v>
      </c>
      <c r="E63" t="s">
        <v>233</v>
      </c>
      <c r="F63" t="s">
        <v>4</v>
      </c>
      <c r="G63" t="s">
        <v>55</v>
      </c>
      <c r="H63">
        <v>1.4000000000000001</v>
      </c>
      <c r="I63">
        <v>5</v>
      </c>
      <c r="J63">
        <v>1</v>
      </c>
    </row>
    <row r="64" spans="1:10" hidden="1" x14ac:dyDescent="0.25">
      <c r="A64" t="s">
        <v>232</v>
      </c>
      <c r="B64" t="s">
        <v>208</v>
      </c>
      <c r="C64" t="s">
        <v>172</v>
      </c>
      <c r="D64" t="s">
        <v>53</v>
      </c>
      <c r="E64" t="s">
        <v>233</v>
      </c>
      <c r="F64" t="s">
        <v>4</v>
      </c>
      <c r="G64" t="s">
        <v>55</v>
      </c>
      <c r="H64">
        <v>1.4000000000000001</v>
      </c>
      <c r="I64">
        <v>0</v>
      </c>
      <c r="J64" s="7">
        <v>0</v>
      </c>
    </row>
    <row r="65" spans="1:10" hidden="1" x14ac:dyDescent="0.25">
      <c r="A65" t="s">
        <v>242</v>
      </c>
      <c r="B65" t="s">
        <v>208</v>
      </c>
      <c r="C65" t="s">
        <v>172</v>
      </c>
      <c r="D65" t="s">
        <v>75</v>
      </c>
      <c r="E65" t="s">
        <v>243</v>
      </c>
      <c r="F65" t="s">
        <v>4</v>
      </c>
      <c r="G65" t="s">
        <v>77</v>
      </c>
      <c r="H65">
        <v>1.6800000000000002</v>
      </c>
      <c r="I65">
        <v>6</v>
      </c>
      <c r="J65">
        <v>1</v>
      </c>
    </row>
    <row r="66" spans="1:10" hidden="1" x14ac:dyDescent="0.25">
      <c r="A66" t="s">
        <v>166</v>
      </c>
      <c r="B66" t="s">
        <v>146</v>
      </c>
      <c r="C66" t="s">
        <v>147</v>
      </c>
      <c r="D66" t="s">
        <v>72</v>
      </c>
      <c r="E66" t="s">
        <v>167</v>
      </c>
      <c r="F66" t="s">
        <v>19</v>
      </c>
      <c r="G66" t="s">
        <v>73</v>
      </c>
      <c r="H66">
        <v>0.32500000000000001</v>
      </c>
      <c r="I66">
        <v>1</v>
      </c>
      <c r="J66">
        <v>1</v>
      </c>
    </row>
    <row r="67" spans="1:10" hidden="1" x14ac:dyDescent="0.25">
      <c r="A67" t="s">
        <v>166</v>
      </c>
      <c r="B67" t="s">
        <v>146</v>
      </c>
      <c r="C67" t="s">
        <v>147</v>
      </c>
      <c r="D67" t="s">
        <v>72</v>
      </c>
      <c r="E67" t="s">
        <v>167</v>
      </c>
      <c r="F67" t="s">
        <v>19</v>
      </c>
      <c r="G67" t="s">
        <v>73</v>
      </c>
      <c r="H67">
        <v>0.32500000000000001</v>
      </c>
      <c r="I67">
        <v>6</v>
      </c>
      <c r="J67" s="7">
        <v>0</v>
      </c>
    </row>
    <row r="68" spans="1:10" hidden="1" x14ac:dyDescent="0.25">
      <c r="A68" t="s">
        <v>240</v>
      </c>
      <c r="B68" t="s">
        <v>146</v>
      </c>
      <c r="C68" t="s">
        <v>147</v>
      </c>
      <c r="D68" t="s">
        <v>98</v>
      </c>
      <c r="E68" t="s">
        <v>241</v>
      </c>
      <c r="F68" t="s">
        <v>4</v>
      </c>
      <c r="G68" t="s">
        <v>100</v>
      </c>
      <c r="H68">
        <v>0.65</v>
      </c>
      <c r="I68">
        <v>2</v>
      </c>
      <c r="J68">
        <v>1</v>
      </c>
    </row>
    <row r="69" spans="1:10" hidden="1" x14ac:dyDescent="0.25">
      <c r="A69" t="s">
        <v>240</v>
      </c>
      <c r="B69" t="s">
        <v>146</v>
      </c>
      <c r="C69" t="s">
        <v>147</v>
      </c>
      <c r="D69" t="s">
        <v>98</v>
      </c>
      <c r="E69" t="s">
        <v>241</v>
      </c>
      <c r="F69" t="s">
        <v>4</v>
      </c>
      <c r="G69" t="s">
        <v>100</v>
      </c>
      <c r="H69">
        <v>0.65</v>
      </c>
      <c r="I69">
        <v>4</v>
      </c>
      <c r="J69" s="7">
        <v>0</v>
      </c>
    </row>
    <row r="70" spans="1:10" hidden="1" x14ac:dyDescent="0.25">
      <c r="A70" t="s">
        <v>25</v>
      </c>
      <c r="B70" t="s">
        <v>146</v>
      </c>
      <c r="C70" t="s">
        <v>147</v>
      </c>
      <c r="D70" t="s">
        <v>60</v>
      </c>
      <c r="E70" t="s">
        <v>148</v>
      </c>
      <c r="F70" t="s">
        <v>141</v>
      </c>
      <c r="G70" t="s">
        <v>61</v>
      </c>
      <c r="H70">
        <v>0.97500000000000009</v>
      </c>
      <c r="I70">
        <v>3</v>
      </c>
      <c r="J70">
        <v>1</v>
      </c>
    </row>
    <row r="71" spans="1:10" hidden="1" x14ac:dyDescent="0.25">
      <c r="A71" t="s">
        <v>25</v>
      </c>
      <c r="B71" t="s">
        <v>146</v>
      </c>
      <c r="C71" t="s">
        <v>147</v>
      </c>
      <c r="D71" t="s">
        <v>60</v>
      </c>
      <c r="E71" t="s">
        <v>148</v>
      </c>
      <c r="F71" t="s">
        <v>141</v>
      </c>
      <c r="G71" t="s">
        <v>61</v>
      </c>
      <c r="H71">
        <v>0.97500000000000009</v>
      </c>
      <c r="I71">
        <v>5</v>
      </c>
      <c r="J71" s="7">
        <v>0</v>
      </c>
    </row>
    <row r="72" spans="1:10" hidden="1" x14ac:dyDescent="0.25">
      <c r="A72" t="s">
        <v>160</v>
      </c>
      <c r="B72" t="s">
        <v>146</v>
      </c>
      <c r="C72" t="s">
        <v>147</v>
      </c>
      <c r="D72" t="s">
        <v>89</v>
      </c>
      <c r="E72" t="s">
        <v>161</v>
      </c>
      <c r="F72" t="s">
        <v>141</v>
      </c>
      <c r="G72" t="s">
        <v>90</v>
      </c>
      <c r="H72">
        <v>1.3</v>
      </c>
      <c r="I72">
        <v>4</v>
      </c>
      <c r="J72">
        <v>1</v>
      </c>
    </row>
    <row r="73" spans="1:10" hidden="1" x14ac:dyDescent="0.25">
      <c r="A73" t="s">
        <v>160</v>
      </c>
      <c r="B73" t="s">
        <v>146</v>
      </c>
      <c r="C73" t="s">
        <v>147</v>
      </c>
      <c r="D73" t="s">
        <v>89</v>
      </c>
      <c r="E73" t="s">
        <v>161</v>
      </c>
      <c r="F73" t="s">
        <v>141</v>
      </c>
      <c r="G73" t="s">
        <v>90</v>
      </c>
      <c r="H73">
        <v>1.3</v>
      </c>
      <c r="I73">
        <v>2</v>
      </c>
      <c r="J73" s="7">
        <v>0</v>
      </c>
    </row>
    <row r="74" spans="1:10" hidden="1" x14ac:dyDescent="0.25">
      <c r="A74" t="s">
        <v>176</v>
      </c>
      <c r="B74" t="s">
        <v>146</v>
      </c>
      <c r="C74" t="s">
        <v>147</v>
      </c>
      <c r="D74" t="s">
        <v>107</v>
      </c>
      <c r="E74" t="s">
        <v>177</v>
      </c>
      <c r="F74" t="s">
        <v>7</v>
      </c>
      <c r="G74" t="s">
        <v>108</v>
      </c>
      <c r="H74">
        <v>1.625</v>
      </c>
      <c r="I74">
        <v>5</v>
      </c>
      <c r="J74">
        <v>1</v>
      </c>
    </row>
    <row r="75" spans="1:10" hidden="1" x14ac:dyDescent="0.25">
      <c r="A75" t="s">
        <v>238</v>
      </c>
      <c r="B75" t="s">
        <v>192</v>
      </c>
      <c r="C75" t="s">
        <v>154</v>
      </c>
      <c r="D75" t="s">
        <v>107</v>
      </c>
      <c r="E75" t="s">
        <v>239</v>
      </c>
      <c r="F75" t="s">
        <v>4</v>
      </c>
      <c r="G75" t="s">
        <v>108</v>
      </c>
      <c r="H75">
        <v>2.88</v>
      </c>
      <c r="I75">
        <v>1</v>
      </c>
      <c r="J75">
        <v>1</v>
      </c>
    </row>
    <row r="76" spans="1:10" hidden="1" x14ac:dyDescent="0.25">
      <c r="A76" s="6" t="s">
        <v>238</v>
      </c>
      <c r="B76" s="6" t="s">
        <v>192</v>
      </c>
      <c r="C76" s="6" t="s">
        <v>154</v>
      </c>
      <c r="D76" s="6" t="s">
        <v>107</v>
      </c>
      <c r="E76" s="6" t="s">
        <v>239</v>
      </c>
      <c r="F76" s="6" t="s">
        <v>4</v>
      </c>
      <c r="G76" s="6" t="s">
        <v>108</v>
      </c>
      <c r="H76" s="2">
        <v>0.6</v>
      </c>
      <c r="I76" s="2">
        <v>1</v>
      </c>
      <c r="J76">
        <v>0</v>
      </c>
    </row>
    <row r="77" spans="1:10" hidden="1" x14ac:dyDescent="0.25">
      <c r="A77" t="s">
        <v>198</v>
      </c>
      <c r="B77" t="s">
        <v>199</v>
      </c>
      <c r="C77" t="s">
        <v>154</v>
      </c>
      <c r="D77" t="s">
        <v>85</v>
      </c>
      <c r="E77" t="s">
        <v>200</v>
      </c>
      <c r="F77" t="s">
        <v>7</v>
      </c>
      <c r="G77" t="s">
        <v>87</v>
      </c>
      <c r="H77">
        <v>0.34</v>
      </c>
      <c r="I77">
        <v>2</v>
      </c>
      <c r="J77">
        <v>1</v>
      </c>
    </row>
    <row r="78" spans="1:10" hidden="1" x14ac:dyDescent="0.25">
      <c r="A78" t="s">
        <v>198</v>
      </c>
      <c r="B78" t="s">
        <v>199</v>
      </c>
      <c r="C78" t="s">
        <v>154</v>
      </c>
      <c r="D78" t="s">
        <v>85</v>
      </c>
      <c r="E78" t="s">
        <v>200</v>
      </c>
      <c r="F78" t="s">
        <v>7</v>
      </c>
      <c r="G78" t="s">
        <v>87</v>
      </c>
      <c r="H78" s="2">
        <v>0.75</v>
      </c>
      <c r="I78">
        <v>2</v>
      </c>
      <c r="J78" s="2">
        <v>0</v>
      </c>
    </row>
    <row r="79" spans="1:10" hidden="1" x14ac:dyDescent="0.25">
      <c r="A79" t="s">
        <v>256</v>
      </c>
      <c r="B79" t="s">
        <v>153</v>
      </c>
      <c r="C79" t="s">
        <v>154</v>
      </c>
      <c r="D79" t="s">
        <v>109</v>
      </c>
      <c r="E79" t="s">
        <v>257</v>
      </c>
      <c r="F79" t="s">
        <v>4</v>
      </c>
      <c r="G79" t="s">
        <v>110</v>
      </c>
      <c r="H79">
        <v>0.56999999999999995</v>
      </c>
      <c r="I79">
        <v>3</v>
      </c>
      <c r="J79">
        <v>1</v>
      </c>
    </row>
    <row r="80" spans="1:10" hidden="1" x14ac:dyDescent="0.25">
      <c r="A80" t="s">
        <v>256</v>
      </c>
      <c r="B80" t="s">
        <v>153</v>
      </c>
      <c r="C80" t="s">
        <v>154</v>
      </c>
      <c r="D80" t="s">
        <v>109</v>
      </c>
      <c r="E80" t="s">
        <v>257</v>
      </c>
      <c r="F80" t="s">
        <v>4</v>
      </c>
      <c r="G80" t="s">
        <v>110</v>
      </c>
      <c r="H80" s="2">
        <v>0.25</v>
      </c>
      <c r="I80">
        <v>3</v>
      </c>
      <c r="J80">
        <v>0</v>
      </c>
    </row>
    <row r="81" spans="1:10" hidden="1" x14ac:dyDescent="0.25">
      <c r="A81" t="s">
        <v>212</v>
      </c>
      <c r="B81" t="s">
        <v>213</v>
      </c>
      <c r="C81" t="s">
        <v>154</v>
      </c>
      <c r="D81" t="s">
        <v>144</v>
      </c>
      <c r="E81" t="s">
        <v>214</v>
      </c>
      <c r="F81" t="s">
        <v>7</v>
      </c>
      <c r="G81" t="s">
        <v>145</v>
      </c>
      <c r="H81">
        <v>0.8</v>
      </c>
      <c r="I81">
        <v>4</v>
      </c>
      <c r="J81">
        <v>1</v>
      </c>
    </row>
    <row r="82" spans="1:10" hidden="1" x14ac:dyDescent="0.25">
      <c r="A82" s="2" t="s">
        <v>212</v>
      </c>
      <c r="B82" s="2" t="s">
        <v>213</v>
      </c>
      <c r="C82" s="2" t="s">
        <v>154</v>
      </c>
      <c r="D82" s="2" t="s">
        <v>144</v>
      </c>
      <c r="E82" s="2" t="s">
        <v>214</v>
      </c>
      <c r="F82" s="2" t="s">
        <v>7</v>
      </c>
      <c r="G82" s="2" t="s">
        <v>145</v>
      </c>
      <c r="H82">
        <v>0.8</v>
      </c>
      <c r="I82" s="2">
        <v>4</v>
      </c>
      <c r="J82">
        <v>0</v>
      </c>
    </row>
    <row r="83" spans="1:10" hidden="1" x14ac:dyDescent="0.25">
      <c r="A83" t="s">
        <v>217</v>
      </c>
      <c r="B83" t="s">
        <v>192</v>
      </c>
      <c r="C83" t="s">
        <v>154</v>
      </c>
      <c r="D83" t="s">
        <v>60</v>
      </c>
      <c r="E83" t="s">
        <v>218</v>
      </c>
      <c r="F83" t="s">
        <v>4</v>
      </c>
      <c r="G83" t="s">
        <v>61</v>
      </c>
      <c r="H83">
        <v>1.05</v>
      </c>
      <c r="I83">
        <v>5</v>
      </c>
      <c r="J83">
        <v>1</v>
      </c>
    </row>
    <row r="84" spans="1:10" hidden="1" x14ac:dyDescent="0.25">
      <c r="A84" t="s">
        <v>217</v>
      </c>
      <c r="B84" t="s">
        <v>192</v>
      </c>
      <c r="C84" t="s">
        <v>154</v>
      </c>
      <c r="D84" t="s">
        <v>60</v>
      </c>
      <c r="E84" t="s">
        <v>218</v>
      </c>
      <c r="F84" t="s">
        <v>4</v>
      </c>
      <c r="G84" t="s">
        <v>61</v>
      </c>
      <c r="H84" s="2">
        <v>0.35</v>
      </c>
      <c r="I84">
        <v>5</v>
      </c>
      <c r="J84">
        <v>0</v>
      </c>
    </row>
    <row r="85" spans="1:10" hidden="1" x14ac:dyDescent="0.25">
      <c r="A85" t="s">
        <v>236</v>
      </c>
      <c r="B85" t="s">
        <v>192</v>
      </c>
      <c r="C85" t="s">
        <v>154</v>
      </c>
      <c r="D85" t="s">
        <v>72</v>
      </c>
      <c r="E85" t="s">
        <v>237</v>
      </c>
      <c r="F85" t="s">
        <v>4</v>
      </c>
      <c r="G85" t="s">
        <v>73</v>
      </c>
      <c r="H85">
        <v>1.25</v>
      </c>
      <c r="I85">
        <v>6</v>
      </c>
      <c r="J85">
        <v>1</v>
      </c>
    </row>
    <row r="86" spans="1:10" hidden="1" x14ac:dyDescent="0.25">
      <c r="A86" t="s">
        <v>236</v>
      </c>
      <c r="B86" t="s">
        <v>192</v>
      </c>
      <c r="C86" t="s">
        <v>154</v>
      </c>
      <c r="D86" t="s">
        <v>72</v>
      </c>
      <c r="E86" t="s">
        <v>237</v>
      </c>
      <c r="F86" t="s">
        <v>4</v>
      </c>
      <c r="G86" t="s">
        <v>73</v>
      </c>
      <c r="H86" s="2">
        <v>0.45</v>
      </c>
      <c r="I86">
        <v>6</v>
      </c>
      <c r="J86" s="2">
        <v>0</v>
      </c>
    </row>
    <row r="87" spans="1:10" hidden="1" x14ac:dyDescent="0.25">
      <c r="A87" t="s">
        <v>196</v>
      </c>
      <c r="B87" t="s">
        <v>153</v>
      </c>
      <c r="C87" t="s">
        <v>154</v>
      </c>
      <c r="D87" t="s">
        <v>109</v>
      </c>
      <c r="E87" t="s">
        <v>197</v>
      </c>
      <c r="F87" t="s">
        <v>7</v>
      </c>
      <c r="G87" t="s">
        <v>110</v>
      </c>
      <c r="H87">
        <v>1.5</v>
      </c>
      <c r="I87">
        <v>7</v>
      </c>
      <c r="J87">
        <v>1</v>
      </c>
    </row>
    <row r="88" spans="1:10" hidden="1" x14ac:dyDescent="0.25">
      <c r="A88" s="2" t="s">
        <v>196</v>
      </c>
      <c r="B88" s="2" t="s">
        <v>153</v>
      </c>
      <c r="C88" s="2" t="s">
        <v>154</v>
      </c>
      <c r="D88" s="2" t="s">
        <v>109</v>
      </c>
      <c r="E88" s="2" t="s">
        <v>197</v>
      </c>
      <c r="F88" s="2" t="s">
        <v>7</v>
      </c>
      <c r="G88" s="2" t="s">
        <v>110</v>
      </c>
      <c r="H88" s="2">
        <v>0.85</v>
      </c>
      <c r="I88" s="2">
        <v>7</v>
      </c>
      <c r="J88">
        <v>0</v>
      </c>
    </row>
    <row r="89" spans="1:10" hidden="1" x14ac:dyDescent="0.25">
      <c r="A89" t="s">
        <v>152</v>
      </c>
      <c r="B89" t="s">
        <v>153</v>
      </c>
      <c r="C89" t="s">
        <v>154</v>
      </c>
      <c r="D89" t="s">
        <v>109</v>
      </c>
      <c r="E89" t="s">
        <v>155</v>
      </c>
      <c r="F89" t="s">
        <v>141</v>
      </c>
      <c r="G89" t="s">
        <v>110</v>
      </c>
      <c r="H89">
        <v>2.67</v>
      </c>
      <c r="I89">
        <v>8</v>
      </c>
      <c r="J89">
        <v>1</v>
      </c>
    </row>
    <row r="90" spans="1:10" hidden="1" x14ac:dyDescent="0.25">
      <c r="A90" t="s">
        <v>152</v>
      </c>
      <c r="B90" t="s">
        <v>153</v>
      </c>
      <c r="C90" t="s">
        <v>154</v>
      </c>
      <c r="D90" t="s">
        <v>109</v>
      </c>
      <c r="E90" t="s">
        <v>155</v>
      </c>
      <c r="F90" t="s">
        <v>141</v>
      </c>
      <c r="G90" t="s">
        <v>110</v>
      </c>
      <c r="H90" s="2">
        <v>1.825</v>
      </c>
      <c r="I90">
        <v>8</v>
      </c>
      <c r="J90">
        <v>0</v>
      </c>
    </row>
    <row r="91" spans="1:10" hidden="1" x14ac:dyDescent="0.25">
      <c r="A91" t="s">
        <v>221</v>
      </c>
      <c r="B91" t="s">
        <v>192</v>
      </c>
      <c r="C91" t="s">
        <v>154</v>
      </c>
      <c r="D91" t="s">
        <v>63</v>
      </c>
      <c r="E91" t="s">
        <v>222</v>
      </c>
      <c r="F91" t="s">
        <v>4</v>
      </c>
      <c r="G91" t="s">
        <v>65</v>
      </c>
      <c r="H91">
        <v>1.7250000000000001</v>
      </c>
      <c r="I91">
        <v>9</v>
      </c>
      <c r="J91">
        <v>1</v>
      </c>
    </row>
    <row r="92" spans="1:10" hidden="1" x14ac:dyDescent="0.25">
      <c r="A92" s="2" t="s">
        <v>221</v>
      </c>
      <c r="B92" s="2" t="s">
        <v>192</v>
      </c>
      <c r="C92" s="2" t="s">
        <v>154</v>
      </c>
      <c r="D92" s="2" t="s">
        <v>63</v>
      </c>
      <c r="E92" s="2" t="s">
        <v>222</v>
      </c>
      <c r="F92" s="2" t="s">
        <v>4</v>
      </c>
      <c r="G92" s="2" t="s">
        <v>65</v>
      </c>
      <c r="H92" s="2">
        <v>0.55000000000000004</v>
      </c>
      <c r="I92">
        <v>9</v>
      </c>
      <c r="J92">
        <v>0</v>
      </c>
    </row>
    <row r="93" spans="1:10" hidden="1" x14ac:dyDescent="0.25">
      <c r="A93" t="s">
        <v>168</v>
      </c>
      <c r="B93" t="s">
        <v>153</v>
      </c>
      <c r="C93" t="s">
        <v>154</v>
      </c>
      <c r="D93" t="s">
        <v>43</v>
      </c>
      <c r="E93" t="s">
        <v>169</v>
      </c>
      <c r="F93" t="s">
        <v>132</v>
      </c>
      <c r="G93" t="s">
        <v>45</v>
      </c>
      <c r="H93">
        <v>1.95</v>
      </c>
      <c r="I93">
        <v>10</v>
      </c>
      <c r="J93">
        <v>1</v>
      </c>
    </row>
    <row r="94" spans="1:10" hidden="1" x14ac:dyDescent="0.25">
      <c r="A94" t="s">
        <v>168</v>
      </c>
      <c r="B94" t="s">
        <v>153</v>
      </c>
      <c r="C94" t="s">
        <v>154</v>
      </c>
      <c r="D94" t="s">
        <v>43</v>
      </c>
      <c r="E94" t="s">
        <v>169</v>
      </c>
      <c r="F94" t="s">
        <v>132</v>
      </c>
      <c r="G94" t="s">
        <v>45</v>
      </c>
      <c r="H94" s="2">
        <v>1.35</v>
      </c>
      <c r="I94" s="2">
        <v>10</v>
      </c>
      <c r="J94" s="2">
        <v>0</v>
      </c>
    </row>
    <row r="95" spans="1:10" hidden="1" x14ac:dyDescent="0.25">
      <c r="A95" t="s">
        <v>250</v>
      </c>
      <c r="B95" t="s">
        <v>192</v>
      </c>
      <c r="C95" t="s">
        <v>154</v>
      </c>
      <c r="D95" t="s">
        <v>85</v>
      </c>
      <c r="E95" t="s">
        <v>251</v>
      </c>
      <c r="F95" t="s">
        <v>4</v>
      </c>
      <c r="G95" t="s">
        <v>87</v>
      </c>
      <c r="H95">
        <v>2.17</v>
      </c>
      <c r="I95">
        <v>11</v>
      </c>
      <c r="J95">
        <v>1</v>
      </c>
    </row>
    <row r="96" spans="1:10" hidden="1" x14ac:dyDescent="0.25">
      <c r="A96" t="s">
        <v>250</v>
      </c>
      <c r="B96" t="s">
        <v>192</v>
      </c>
      <c r="C96" t="s">
        <v>154</v>
      </c>
      <c r="D96" t="s">
        <v>85</v>
      </c>
      <c r="E96" t="s">
        <v>251</v>
      </c>
      <c r="F96" t="s">
        <v>4</v>
      </c>
      <c r="G96" t="s">
        <v>87</v>
      </c>
      <c r="H96" s="2">
        <v>0.65</v>
      </c>
      <c r="I96">
        <v>11</v>
      </c>
      <c r="J96">
        <v>0</v>
      </c>
    </row>
    <row r="97" spans="1:10" hidden="1" x14ac:dyDescent="0.25">
      <c r="A97" t="s">
        <v>191</v>
      </c>
      <c r="B97" t="s">
        <v>192</v>
      </c>
      <c r="C97" t="s">
        <v>154</v>
      </c>
      <c r="D97" t="s">
        <v>98</v>
      </c>
      <c r="E97" t="s">
        <v>193</v>
      </c>
      <c r="F97" t="s">
        <v>7</v>
      </c>
      <c r="G97" t="s">
        <v>100</v>
      </c>
      <c r="H97">
        <v>2.42</v>
      </c>
      <c r="I97">
        <v>12</v>
      </c>
      <c r="J97">
        <v>1</v>
      </c>
    </row>
    <row r="98" spans="1:10" hidden="1" x14ac:dyDescent="0.25">
      <c r="A98" s="2" t="s">
        <v>191</v>
      </c>
      <c r="B98" s="2" t="s">
        <v>192</v>
      </c>
      <c r="C98" s="2" t="s">
        <v>154</v>
      </c>
      <c r="D98" s="2" t="s">
        <v>98</v>
      </c>
      <c r="E98" s="2" t="s">
        <v>193</v>
      </c>
      <c r="F98" s="2" t="s">
        <v>7</v>
      </c>
      <c r="G98" s="2" t="s">
        <v>100</v>
      </c>
      <c r="H98" s="2">
        <v>0.95</v>
      </c>
      <c r="I98">
        <v>12</v>
      </c>
      <c r="J98">
        <v>0</v>
      </c>
    </row>
    <row r="99" spans="1:10" hidden="1" x14ac:dyDescent="0.25">
      <c r="A99" t="s">
        <v>182</v>
      </c>
      <c r="B99" t="s">
        <v>163</v>
      </c>
      <c r="C99" t="s">
        <v>164</v>
      </c>
      <c r="D99" t="s">
        <v>78</v>
      </c>
      <c r="E99" t="s">
        <v>183</v>
      </c>
      <c r="F99" t="s">
        <v>132</v>
      </c>
      <c r="G99" t="s">
        <v>79</v>
      </c>
      <c r="H99">
        <v>1.75</v>
      </c>
      <c r="I99">
        <v>3</v>
      </c>
      <c r="J99" s="7">
        <v>0</v>
      </c>
    </row>
    <row r="100" spans="1:10" hidden="1" x14ac:dyDescent="0.25">
      <c r="A100" t="s">
        <v>162</v>
      </c>
      <c r="B100" t="s">
        <v>163</v>
      </c>
      <c r="C100" t="s">
        <v>164</v>
      </c>
      <c r="D100" t="s">
        <v>85</v>
      </c>
      <c r="E100" t="s">
        <v>165</v>
      </c>
      <c r="F100" t="s">
        <v>141</v>
      </c>
      <c r="G100" t="s">
        <v>87</v>
      </c>
      <c r="H100">
        <v>2</v>
      </c>
      <c r="I100">
        <v>8</v>
      </c>
      <c r="J100">
        <v>1</v>
      </c>
    </row>
    <row r="101" spans="1:10" hidden="1" x14ac:dyDescent="0.25">
      <c r="A101" t="s">
        <v>162</v>
      </c>
      <c r="B101" t="s">
        <v>163</v>
      </c>
      <c r="C101" t="s">
        <v>164</v>
      </c>
      <c r="D101" t="s">
        <v>85</v>
      </c>
      <c r="E101" t="s">
        <v>165</v>
      </c>
      <c r="F101" t="s">
        <v>141</v>
      </c>
      <c r="G101" t="s">
        <v>87</v>
      </c>
      <c r="H101">
        <v>2</v>
      </c>
      <c r="I101">
        <v>2</v>
      </c>
      <c r="J101" s="7">
        <v>0</v>
      </c>
    </row>
    <row r="102" spans="1:10" hidden="1" x14ac:dyDescent="0.25">
      <c r="A102" t="s">
        <v>194</v>
      </c>
      <c r="B102" t="s">
        <v>163</v>
      </c>
      <c r="C102" t="s">
        <v>164</v>
      </c>
      <c r="D102" t="s">
        <v>75</v>
      </c>
      <c r="E102" t="s">
        <v>195</v>
      </c>
      <c r="F102" t="s">
        <v>7</v>
      </c>
      <c r="G102" t="s">
        <v>77</v>
      </c>
      <c r="H102">
        <v>2.25</v>
      </c>
      <c r="I102">
        <v>9</v>
      </c>
      <c r="J102">
        <v>1</v>
      </c>
    </row>
    <row r="103" spans="1:10" hidden="1" x14ac:dyDescent="0.25">
      <c r="A103" t="s">
        <v>194</v>
      </c>
      <c r="B103" t="s">
        <v>163</v>
      </c>
      <c r="C103" t="s">
        <v>164</v>
      </c>
      <c r="D103" t="s">
        <v>75</v>
      </c>
      <c r="E103" t="s">
        <v>195</v>
      </c>
      <c r="F103" t="s">
        <v>7</v>
      </c>
      <c r="G103" t="s">
        <v>77</v>
      </c>
      <c r="H103">
        <v>2.25</v>
      </c>
      <c r="I103">
        <v>1</v>
      </c>
      <c r="J103" s="7">
        <v>0</v>
      </c>
    </row>
    <row r="104" spans="1:10" hidden="1" x14ac:dyDescent="0.25">
      <c r="A104" t="s">
        <v>180</v>
      </c>
      <c r="B104" t="s">
        <v>163</v>
      </c>
      <c r="C104" t="s">
        <v>164</v>
      </c>
      <c r="D104" t="s">
        <v>109</v>
      </c>
      <c r="E104" t="s">
        <v>181</v>
      </c>
      <c r="F104" t="s">
        <v>132</v>
      </c>
      <c r="G104" t="s">
        <v>110</v>
      </c>
      <c r="H104">
        <v>2.5</v>
      </c>
      <c r="I104">
        <v>10</v>
      </c>
      <c r="J104">
        <v>1</v>
      </c>
    </row>
    <row r="105" spans="1:10" hidden="1" x14ac:dyDescent="0.25">
      <c r="A105" t="s">
        <v>180</v>
      </c>
      <c r="B105" t="s">
        <v>163</v>
      </c>
      <c r="C105" t="s">
        <v>164</v>
      </c>
      <c r="D105" t="s">
        <v>109</v>
      </c>
      <c r="E105" t="s">
        <v>181</v>
      </c>
      <c r="F105" t="s">
        <v>132</v>
      </c>
      <c r="G105" t="s">
        <v>110</v>
      </c>
      <c r="H105">
        <v>2.5</v>
      </c>
      <c r="I105">
        <v>0</v>
      </c>
      <c r="J105" s="7">
        <v>0</v>
      </c>
    </row>
    <row r="106" spans="1:10" hidden="1" x14ac:dyDescent="0.25">
      <c r="A106" t="s">
        <v>246</v>
      </c>
      <c r="B106" t="s">
        <v>163</v>
      </c>
      <c r="C106" t="s">
        <v>164</v>
      </c>
      <c r="D106" t="s">
        <v>125</v>
      </c>
      <c r="E106" t="s">
        <v>247</v>
      </c>
      <c r="F106" t="s">
        <v>4</v>
      </c>
      <c r="G106" t="s">
        <v>126</v>
      </c>
      <c r="H106">
        <v>2.75</v>
      </c>
      <c r="I106">
        <v>11</v>
      </c>
      <c r="J106">
        <v>1</v>
      </c>
    </row>
    <row r="107" spans="1:10" hidden="1" x14ac:dyDescent="0.25">
      <c r="A107" t="s">
        <v>246</v>
      </c>
      <c r="B107" t="s">
        <v>163</v>
      </c>
      <c r="C107" t="s">
        <v>164</v>
      </c>
      <c r="D107" t="s">
        <v>125</v>
      </c>
      <c r="E107" t="s">
        <v>247</v>
      </c>
      <c r="F107" t="s">
        <v>4</v>
      </c>
      <c r="G107" t="s">
        <v>126</v>
      </c>
      <c r="H107">
        <v>2.75</v>
      </c>
      <c r="I107">
        <v>2</v>
      </c>
      <c r="J107" s="7">
        <v>0</v>
      </c>
    </row>
    <row r="108" spans="1:10" hidden="1" x14ac:dyDescent="0.25">
      <c r="A108" t="s">
        <v>225</v>
      </c>
      <c r="B108" t="s">
        <v>163</v>
      </c>
      <c r="C108" t="s">
        <v>164</v>
      </c>
      <c r="D108" t="s">
        <v>75</v>
      </c>
      <c r="E108" t="s">
        <v>226</v>
      </c>
      <c r="F108" t="s">
        <v>4</v>
      </c>
      <c r="G108" t="s">
        <v>77</v>
      </c>
      <c r="H108">
        <v>3</v>
      </c>
      <c r="I108">
        <v>12</v>
      </c>
      <c r="J108">
        <v>1</v>
      </c>
    </row>
    <row r="109" spans="1:10" hidden="1" x14ac:dyDescent="0.25">
      <c r="A109" t="s">
        <v>225</v>
      </c>
      <c r="B109" t="s">
        <v>163</v>
      </c>
      <c r="C109" t="s">
        <v>164</v>
      </c>
      <c r="D109" t="s">
        <v>75</v>
      </c>
      <c r="E109" t="s">
        <v>226</v>
      </c>
      <c r="F109" t="s">
        <v>4</v>
      </c>
      <c r="G109" t="s">
        <v>77</v>
      </c>
      <c r="H109">
        <v>3</v>
      </c>
      <c r="I109">
        <v>6</v>
      </c>
      <c r="J109" s="7">
        <v>0</v>
      </c>
    </row>
    <row r="110" spans="1:10" hidden="1" x14ac:dyDescent="0.25">
      <c r="A110" t="s">
        <v>223</v>
      </c>
      <c r="B110" t="s">
        <v>163</v>
      </c>
      <c r="C110" t="s">
        <v>164</v>
      </c>
      <c r="D110" t="s">
        <v>75</v>
      </c>
      <c r="E110" t="s">
        <v>224</v>
      </c>
      <c r="F110" t="s">
        <v>4</v>
      </c>
      <c r="G110" t="s">
        <v>77</v>
      </c>
      <c r="H110">
        <v>3.25</v>
      </c>
      <c r="I110">
        <v>13</v>
      </c>
      <c r="J110">
        <v>1</v>
      </c>
    </row>
    <row r="111" spans="1:10" hidden="1" x14ac:dyDescent="0.25">
      <c r="A111" t="s">
        <v>223</v>
      </c>
      <c r="B111" t="s">
        <v>163</v>
      </c>
      <c r="C111" t="s">
        <v>164</v>
      </c>
      <c r="D111" t="s">
        <v>75</v>
      </c>
      <c r="E111" t="s">
        <v>224</v>
      </c>
      <c r="F111" t="s">
        <v>4</v>
      </c>
      <c r="G111" t="s">
        <v>77</v>
      </c>
      <c r="H111">
        <v>3.25</v>
      </c>
      <c r="I111">
        <v>1</v>
      </c>
      <c r="J111" s="7">
        <v>0</v>
      </c>
    </row>
    <row r="112" spans="1:10" hidden="1" x14ac:dyDescent="0.25">
      <c r="A112" t="s">
        <v>242</v>
      </c>
      <c r="B112" t="s">
        <v>208</v>
      </c>
      <c r="C112" t="s">
        <v>172</v>
      </c>
      <c r="D112" t="s">
        <v>75</v>
      </c>
      <c r="E112" t="s">
        <v>243</v>
      </c>
      <c r="F112" t="s">
        <v>4</v>
      </c>
      <c r="G112" t="s">
        <v>77</v>
      </c>
      <c r="H112">
        <v>1.6800000000000002</v>
      </c>
      <c r="I112">
        <v>0</v>
      </c>
      <c r="J112" s="7">
        <v>0</v>
      </c>
    </row>
    <row r="113" spans="1:10" hidden="1" x14ac:dyDescent="0.25">
      <c r="A113" t="s">
        <v>170</v>
      </c>
      <c r="B113" t="s">
        <v>171</v>
      </c>
      <c r="C113" t="s">
        <v>172</v>
      </c>
      <c r="D113" t="s">
        <v>72</v>
      </c>
      <c r="E113" t="s">
        <v>173</v>
      </c>
      <c r="F113" t="s">
        <v>132</v>
      </c>
      <c r="G113" t="s">
        <v>73</v>
      </c>
      <c r="H113">
        <v>1.9600000000000002</v>
      </c>
      <c r="I113">
        <v>7</v>
      </c>
      <c r="J113">
        <v>1</v>
      </c>
    </row>
    <row r="114" spans="1:10" hidden="1" x14ac:dyDescent="0.25">
      <c r="A114" t="s">
        <v>170</v>
      </c>
      <c r="B114" t="s">
        <v>171</v>
      </c>
      <c r="C114" t="s">
        <v>172</v>
      </c>
      <c r="D114" t="s">
        <v>72</v>
      </c>
      <c r="E114" t="s">
        <v>173</v>
      </c>
      <c r="F114" t="s">
        <v>132</v>
      </c>
      <c r="G114" t="s">
        <v>73</v>
      </c>
      <c r="H114">
        <v>1.9600000000000002</v>
      </c>
      <c r="I114">
        <v>0</v>
      </c>
      <c r="J114" s="7">
        <v>0</v>
      </c>
    </row>
    <row r="115" spans="1:10" hidden="1" x14ac:dyDescent="0.25">
      <c r="A115" t="s">
        <v>248</v>
      </c>
      <c r="B115" t="s">
        <v>189</v>
      </c>
      <c r="C115" t="s">
        <v>172</v>
      </c>
      <c r="D115" t="s">
        <v>81</v>
      </c>
      <c r="E115" t="s">
        <v>249</v>
      </c>
      <c r="F115" t="s">
        <v>4</v>
      </c>
      <c r="G115" t="s">
        <v>83</v>
      </c>
      <c r="H115">
        <v>2.2400000000000002</v>
      </c>
      <c r="I115">
        <v>8</v>
      </c>
      <c r="J115">
        <v>1</v>
      </c>
    </row>
    <row r="116" spans="1:10" hidden="1" x14ac:dyDescent="0.25">
      <c r="A116" t="s">
        <v>248</v>
      </c>
      <c r="B116" t="s">
        <v>189</v>
      </c>
      <c r="C116" t="s">
        <v>172</v>
      </c>
      <c r="D116" t="s">
        <v>81</v>
      </c>
      <c r="E116" t="s">
        <v>249</v>
      </c>
      <c r="F116" t="s">
        <v>4</v>
      </c>
      <c r="G116" t="s">
        <v>83</v>
      </c>
      <c r="H116">
        <v>2.2400000000000002</v>
      </c>
      <c r="I116">
        <v>3</v>
      </c>
      <c r="J116" s="7">
        <v>0</v>
      </c>
    </row>
    <row r="117" spans="1:10" hidden="1" x14ac:dyDescent="0.25">
      <c r="A117" t="s">
        <v>234</v>
      </c>
      <c r="B117" t="s">
        <v>189</v>
      </c>
      <c r="C117" t="s">
        <v>172</v>
      </c>
      <c r="D117" t="s">
        <v>63</v>
      </c>
      <c r="E117" t="s">
        <v>235</v>
      </c>
      <c r="F117" t="s">
        <v>4</v>
      </c>
      <c r="G117" t="s">
        <v>65</v>
      </c>
      <c r="H117">
        <v>2.5200000000000005</v>
      </c>
      <c r="I117">
        <v>9</v>
      </c>
      <c r="J117">
        <v>1</v>
      </c>
    </row>
    <row r="118" spans="1:10" hidden="1" x14ac:dyDescent="0.25">
      <c r="A118" t="s">
        <v>234</v>
      </c>
      <c r="B118" t="s">
        <v>189</v>
      </c>
      <c r="C118" t="s">
        <v>172</v>
      </c>
      <c r="D118" t="s">
        <v>63</v>
      </c>
      <c r="E118" t="s">
        <v>235</v>
      </c>
      <c r="F118" t="s">
        <v>4</v>
      </c>
      <c r="G118" t="s">
        <v>65</v>
      </c>
      <c r="H118">
        <v>2.5200000000000005</v>
      </c>
      <c r="I118">
        <v>2</v>
      </c>
      <c r="J118" s="7">
        <v>0</v>
      </c>
    </row>
    <row r="119" spans="1:10" hidden="1" x14ac:dyDescent="0.25">
      <c r="A119" t="s">
        <v>258</v>
      </c>
      <c r="B119" t="s">
        <v>208</v>
      </c>
      <c r="C119" t="s">
        <v>172</v>
      </c>
      <c r="D119" t="s">
        <v>125</v>
      </c>
      <c r="E119" t="s">
        <v>259</v>
      </c>
      <c r="F119" t="s">
        <v>4</v>
      </c>
      <c r="G119" t="s">
        <v>126</v>
      </c>
      <c r="H119">
        <v>2.8000000000000003</v>
      </c>
      <c r="I119">
        <v>10</v>
      </c>
      <c r="J119">
        <v>1</v>
      </c>
    </row>
    <row r="120" spans="1:10" hidden="1" x14ac:dyDescent="0.25">
      <c r="A120" t="s">
        <v>258</v>
      </c>
      <c r="B120" t="s">
        <v>208</v>
      </c>
      <c r="C120" t="s">
        <v>172</v>
      </c>
      <c r="D120" t="s">
        <v>125</v>
      </c>
      <c r="E120" t="s">
        <v>259</v>
      </c>
      <c r="F120" t="s">
        <v>4</v>
      </c>
      <c r="G120" t="s">
        <v>126</v>
      </c>
      <c r="H120">
        <v>2.8000000000000003</v>
      </c>
      <c r="I120">
        <v>5</v>
      </c>
      <c r="J120" s="7">
        <v>0</v>
      </c>
    </row>
    <row r="121" spans="1:10" hidden="1" x14ac:dyDescent="0.25">
      <c r="A121" t="s">
        <v>178</v>
      </c>
      <c r="B121" t="s">
        <v>171</v>
      </c>
      <c r="C121" t="s">
        <v>172</v>
      </c>
      <c r="D121" t="s">
        <v>98</v>
      </c>
      <c r="E121" t="s">
        <v>179</v>
      </c>
      <c r="F121" t="s">
        <v>7</v>
      </c>
      <c r="G121" t="s">
        <v>100</v>
      </c>
      <c r="H121">
        <v>3.08</v>
      </c>
      <c r="I121">
        <v>11</v>
      </c>
      <c r="J121">
        <v>1</v>
      </c>
    </row>
    <row r="122" spans="1:10" hidden="1" x14ac:dyDescent="0.25">
      <c r="A122" t="s">
        <v>178</v>
      </c>
      <c r="B122" t="s">
        <v>171</v>
      </c>
      <c r="C122" t="s">
        <v>172</v>
      </c>
      <c r="D122" t="s">
        <v>98</v>
      </c>
      <c r="E122" t="s">
        <v>179</v>
      </c>
      <c r="F122" t="s">
        <v>7</v>
      </c>
      <c r="G122" t="s">
        <v>100</v>
      </c>
      <c r="H122">
        <v>3.08</v>
      </c>
      <c r="I122">
        <v>6</v>
      </c>
      <c r="J122" s="7">
        <v>0</v>
      </c>
    </row>
    <row r="123" spans="1:10" hidden="1" x14ac:dyDescent="0.25">
      <c r="A123" t="s">
        <v>176</v>
      </c>
      <c r="B123" t="s">
        <v>146</v>
      </c>
      <c r="C123" t="s">
        <v>147</v>
      </c>
      <c r="D123" t="s">
        <v>107</v>
      </c>
      <c r="E123" t="s">
        <v>177</v>
      </c>
      <c r="F123" t="s">
        <v>7</v>
      </c>
      <c r="G123" t="s">
        <v>108</v>
      </c>
      <c r="H123">
        <v>1.625</v>
      </c>
      <c r="I123">
        <v>3</v>
      </c>
      <c r="J123" s="7">
        <v>0</v>
      </c>
    </row>
    <row r="124" spans="1:10" hidden="1" x14ac:dyDescent="0.25">
      <c r="A124" t="s">
        <v>203</v>
      </c>
      <c r="B124" t="s">
        <v>146</v>
      </c>
      <c r="C124" t="s">
        <v>147</v>
      </c>
      <c r="D124" t="s">
        <v>125</v>
      </c>
      <c r="E124" t="s">
        <v>204</v>
      </c>
      <c r="F124" t="s">
        <v>7</v>
      </c>
      <c r="G124" t="s">
        <v>126</v>
      </c>
      <c r="H124">
        <v>1.9500000000000002</v>
      </c>
      <c r="I124">
        <v>6</v>
      </c>
      <c r="J124">
        <v>1</v>
      </c>
    </row>
    <row r="125" spans="1:10" hidden="1" x14ac:dyDescent="0.25">
      <c r="A125" t="s">
        <v>203</v>
      </c>
      <c r="B125" t="s">
        <v>146</v>
      </c>
      <c r="C125" t="s">
        <v>147</v>
      </c>
      <c r="D125" t="s">
        <v>125</v>
      </c>
      <c r="E125" t="s">
        <v>204</v>
      </c>
      <c r="F125" t="s">
        <v>7</v>
      </c>
      <c r="G125" t="s">
        <v>126</v>
      </c>
      <c r="H125">
        <v>1.9500000000000002</v>
      </c>
      <c r="I125">
        <v>1</v>
      </c>
      <c r="J125" s="7">
        <v>0</v>
      </c>
    </row>
    <row r="126" spans="1:10" hidden="1" x14ac:dyDescent="0.25">
      <c r="A126" t="s">
        <v>201</v>
      </c>
      <c r="B126" t="s">
        <v>146</v>
      </c>
      <c r="C126" t="s">
        <v>147</v>
      </c>
      <c r="D126" t="s">
        <v>47</v>
      </c>
      <c r="E126" t="s">
        <v>202</v>
      </c>
      <c r="F126" t="s">
        <v>132</v>
      </c>
      <c r="G126" t="s">
        <v>49</v>
      </c>
      <c r="H126">
        <v>2.2749999999999999</v>
      </c>
      <c r="I126">
        <v>7</v>
      </c>
      <c r="J126">
        <v>1</v>
      </c>
    </row>
    <row r="127" spans="1:10" hidden="1" x14ac:dyDescent="0.25">
      <c r="A127" t="s">
        <v>201</v>
      </c>
      <c r="B127" t="s">
        <v>146</v>
      </c>
      <c r="C127" t="s">
        <v>147</v>
      </c>
      <c r="D127" t="s">
        <v>47</v>
      </c>
      <c r="E127" t="s">
        <v>202</v>
      </c>
      <c r="F127" t="s">
        <v>132</v>
      </c>
      <c r="G127" t="s">
        <v>49</v>
      </c>
      <c r="H127">
        <v>2.2749999999999999</v>
      </c>
      <c r="I127">
        <v>4</v>
      </c>
      <c r="J127" s="7">
        <v>0</v>
      </c>
    </row>
    <row r="128" spans="1:10" hidden="1" x14ac:dyDescent="0.25">
      <c r="A128" t="s">
        <v>174</v>
      </c>
      <c r="B128" t="s">
        <v>146</v>
      </c>
      <c r="C128" t="s">
        <v>147</v>
      </c>
      <c r="D128" t="s">
        <v>72</v>
      </c>
      <c r="E128" t="s">
        <v>175</v>
      </c>
      <c r="F128" t="s">
        <v>7</v>
      </c>
      <c r="G128" t="s">
        <v>73</v>
      </c>
      <c r="H128">
        <v>2.6</v>
      </c>
      <c r="I128">
        <v>8</v>
      </c>
      <c r="J128">
        <v>1</v>
      </c>
    </row>
    <row r="129" spans="1:10" hidden="1" x14ac:dyDescent="0.25">
      <c r="A129" t="s">
        <v>174</v>
      </c>
      <c r="B129" t="s">
        <v>146</v>
      </c>
      <c r="C129" t="s">
        <v>147</v>
      </c>
      <c r="D129" t="s">
        <v>72</v>
      </c>
      <c r="E129" t="s">
        <v>175</v>
      </c>
      <c r="F129" t="s">
        <v>7</v>
      </c>
      <c r="G129" t="s">
        <v>73</v>
      </c>
      <c r="H129">
        <v>2.6</v>
      </c>
      <c r="I129">
        <v>6</v>
      </c>
      <c r="J129" s="7">
        <v>0</v>
      </c>
    </row>
    <row r="130" spans="1:10" hidden="1" x14ac:dyDescent="0.25">
      <c r="A130" t="s">
        <v>158</v>
      </c>
      <c r="B130" t="s">
        <v>146</v>
      </c>
      <c r="C130" t="s">
        <v>147</v>
      </c>
      <c r="D130" t="s">
        <v>78</v>
      </c>
      <c r="E130" t="s">
        <v>159</v>
      </c>
      <c r="F130" t="s">
        <v>141</v>
      </c>
      <c r="G130" t="s">
        <v>79</v>
      </c>
      <c r="H130">
        <v>2.9250000000000003</v>
      </c>
      <c r="I130">
        <v>9</v>
      </c>
      <c r="J130">
        <v>1</v>
      </c>
    </row>
    <row r="131" spans="1:10" hidden="1" x14ac:dyDescent="0.25">
      <c r="A131" t="s">
        <v>158</v>
      </c>
      <c r="B131" t="s">
        <v>146</v>
      </c>
      <c r="C131" t="s">
        <v>147</v>
      </c>
      <c r="D131" t="s">
        <v>78</v>
      </c>
      <c r="E131" t="s">
        <v>159</v>
      </c>
      <c r="F131" t="s">
        <v>141</v>
      </c>
      <c r="G131" t="s">
        <v>79</v>
      </c>
      <c r="H131">
        <v>2.9250000000000003</v>
      </c>
      <c r="I131">
        <v>2</v>
      </c>
      <c r="J131" s="7">
        <v>0</v>
      </c>
    </row>
    <row r="132" spans="1:10" hidden="1" x14ac:dyDescent="0.25">
      <c r="A132" t="s">
        <v>229</v>
      </c>
      <c r="B132" t="s">
        <v>199</v>
      </c>
      <c r="C132" t="s">
        <v>230</v>
      </c>
      <c r="D132" t="s">
        <v>78</v>
      </c>
      <c r="E132" t="s">
        <v>231</v>
      </c>
      <c r="F132" t="s">
        <v>4</v>
      </c>
      <c r="G132" t="s">
        <v>79</v>
      </c>
      <c r="H132">
        <v>0.15</v>
      </c>
      <c r="I132">
        <v>4</v>
      </c>
      <c r="J132" s="7">
        <v>0</v>
      </c>
    </row>
    <row r="133" spans="1:10" x14ac:dyDescent="0.25">
      <c r="A133" t="s">
        <v>215</v>
      </c>
      <c r="B133" t="s">
        <v>192</v>
      </c>
      <c r="C133" t="s">
        <v>36</v>
      </c>
      <c r="D133" t="s">
        <v>47</v>
      </c>
      <c r="E133" t="s">
        <v>216</v>
      </c>
      <c r="F133" t="s">
        <v>4</v>
      </c>
      <c r="G133" t="s">
        <v>49</v>
      </c>
      <c r="H133">
        <v>15</v>
      </c>
      <c r="I133">
        <v>6</v>
      </c>
      <c r="J133" s="7">
        <v>0</v>
      </c>
    </row>
    <row r="134" spans="1:10" x14ac:dyDescent="0.25">
      <c r="A134" t="s">
        <v>56</v>
      </c>
      <c r="B134" t="s">
        <v>35</v>
      </c>
      <c r="C134" t="s">
        <v>36</v>
      </c>
      <c r="D134" t="s">
        <v>53</v>
      </c>
      <c r="E134" t="s">
        <v>57</v>
      </c>
      <c r="F134" t="s">
        <v>4</v>
      </c>
      <c r="G134" t="s">
        <v>55</v>
      </c>
      <c r="H134">
        <v>15.75</v>
      </c>
      <c r="I134">
        <v>21</v>
      </c>
      <c r="J134">
        <v>1</v>
      </c>
    </row>
    <row r="135" spans="1:10" x14ac:dyDescent="0.25">
      <c r="A135" t="s">
        <v>56</v>
      </c>
      <c r="B135" t="s">
        <v>35</v>
      </c>
      <c r="C135" t="s">
        <v>36</v>
      </c>
      <c r="D135" t="s">
        <v>53</v>
      </c>
      <c r="E135" t="s">
        <v>57</v>
      </c>
      <c r="F135" t="s">
        <v>4</v>
      </c>
      <c r="G135" t="s">
        <v>55</v>
      </c>
      <c r="H135">
        <v>15.75</v>
      </c>
      <c r="I135">
        <v>4</v>
      </c>
      <c r="J135" s="7">
        <v>0</v>
      </c>
    </row>
    <row r="136" spans="1:10" x14ac:dyDescent="0.25">
      <c r="A136" t="s">
        <v>68</v>
      </c>
      <c r="B136" t="s">
        <v>35</v>
      </c>
      <c r="C136" t="s">
        <v>36</v>
      </c>
      <c r="D136" t="s">
        <v>63</v>
      </c>
      <c r="E136" t="s">
        <v>69</v>
      </c>
      <c r="F136" t="s">
        <v>4</v>
      </c>
      <c r="G136" t="s">
        <v>65</v>
      </c>
      <c r="H136">
        <v>16.5</v>
      </c>
      <c r="I136">
        <v>22</v>
      </c>
      <c r="J136">
        <v>1</v>
      </c>
    </row>
    <row r="137" spans="1:10" x14ac:dyDescent="0.25">
      <c r="A137" t="s">
        <v>68</v>
      </c>
      <c r="B137" t="s">
        <v>35</v>
      </c>
      <c r="C137" t="s">
        <v>36</v>
      </c>
      <c r="D137" t="s">
        <v>63</v>
      </c>
      <c r="E137" t="s">
        <v>69</v>
      </c>
      <c r="F137" t="s">
        <v>4</v>
      </c>
      <c r="G137" t="s">
        <v>65</v>
      </c>
      <c r="H137">
        <v>16.5</v>
      </c>
      <c r="I137">
        <v>1</v>
      </c>
      <c r="J137" s="7">
        <v>0</v>
      </c>
    </row>
    <row r="138" spans="1:10" x14ac:dyDescent="0.25">
      <c r="A138" t="s">
        <v>135</v>
      </c>
      <c r="B138" t="s">
        <v>35</v>
      </c>
      <c r="C138" t="s">
        <v>36</v>
      </c>
      <c r="D138" t="s">
        <v>107</v>
      </c>
      <c r="E138" t="s">
        <v>136</v>
      </c>
      <c r="F138" t="s">
        <v>7</v>
      </c>
      <c r="G138" t="s">
        <v>108</v>
      </c>
      <c r="H138">
        <v>17.25</v>
      </c>
      <c r="I138">
        <v>23</v>
      </c>
      <c r="J138">
        <v>1</v>
      </c>
    </row>
    <row r="139" spans="1:10" x14ac:dyDescent="0.25">
      <c r="A139" t="s">
        <v>135</v>
      </c>
      <c r="B139" t="s">
        <v>35</v>
      </c>
      <c r="C139" t="s">
        <v>36</v>
      </c>
      <c r="D139" t="s">
        <v>107</v>
      </c>
      <c r="E139" t="s">
        <v>136</v>
      </c>
      <c r="F139" t="s">
        <v>7</v>
      </c>
      <c r="G139" t="s">
        <v>108</v>
      </c>
      <c r="H139">
        <v>17.25</v>
      </c>
      <c r="I139">
        <v>1</v>
      </c>
      <c r="J139" s="7">
        <v>0</v>
      </c>
    </row>
    <row r="140" spans="1:10" x14ac:dyDescent="0.25">
      <c r="A140" t="s">
        <v>97</v>
      </c>
      <c r="B140" t="s">
        <v>35</v>
      </c>
      <c r="C140" t="s">
        <v>36</v>
      </c>
      <c r="D140" t="s">
        <v>98</v>
      </c>
      <c r="E140" t="s">
        <v>99</v>
      </c>
      <c r="F140" t="s">
        <v>4</v>
      </c>
      <c r="G140" t="s">
        <v>100</v>
      </c>
      <c r="H140">
        <v>18</v>
      </c>
      <c r="I140">
        <v>24</v>
      </c>
      <c r="J140">
        <v>1</v>
      </c>
    </row>
    <row r="141" spans="1:10" x14ac:dyDescent="0.25">
      <c r="A141" t="s">
        <v>97</v>
      </c>
      <c r="B141" t="s">
        <v>35</v>
      </c>
      <c r="C141" t="s">
        <v>36</v>
      </c>
      <c r="D141" t="s">
        <v>98</v>
      </c>
      <c r="E141" t="s">
        <v>99</v>
      </c>
      <c r="F141" t="s">
        <v>4</v>
      </c>
      <c r="G141" t="s">
        <v>100</v>
      </c>
      <c r="H141">
        <v>18</v>
      </c>
      <c r="I141">
        <v>0</v>
      </c>
      <c r="J141" s="7">
        <v>0</v>
      </c>
    </row>
    <row r="142" spans="1:10" x14ac:dyDescent="0.25">
      <c r="A142" t="s">
        <v>91</v>
      </c>
      <c r="B142" t="s">
        <v>35</v>
      </c>
      <c r="C142" t="s">
        <v>36</v>
      </c>
      <c r="D142" t="s">
        <v>60</v>
      </c>
      <c r="E142" t="s">
        <v>92</v>
      </c>
      <c r="F142" t="s">
        <v>4</v>
      </c>
      <c r="G142" t="s">
        <v>61</v>
      </c>
      <c r="H142">
        <v>18.75</v>
      </c>
      <c r="I142">
        <v>25</v>
      </c>
      <c r="J142">
        <v>1</v>
      </c>
    </row>
    <row r="143" spans="1:10" x14ac:dyDescent="0.25">
      <c r="A143" t="s">
        <v>91</v>
      </c>
      <c r="B143" t="s">
        <v>35</v>
      </c>
      <c r="C143" t="s">
        <v>36</v>
      </c>
      <c r="D143" t="s">
        <v>60</v>
      </c>
      <c r="E143" t="s">
        <v>92</v>
      </c>
      <c r="F143" t="s">
        <v>4</v>
      </c>
      <c r="G143" t="s">
        <v>61</v>
      </c>
      <c r="H143">
        <v>18.75</v>
      </c>
      <c r="I143">
        <v>2</v>
      </c>
      <c r="J143" s="7">
        <v>0</v>
      </c>
    </row>
    <row r="144" spans="1:10" x14ac:dyDescent="0.25">
      <c r="A144" t="s">
        <v>95</v>
      </c>
      <c r="B144" t="s">
        <v>35</v>
      </c>
      <c r="C144" t="s">
        <v>36</v>
      </c>
      <c r="D144" t="s">
        <v>72</v>
      </c>
      <c r="E144" t="s">
        <v>96</v>
      </c>
      <c r="F144" t="s">
        <v>4</v>
      </c>
      <c r="G144" t="s">
        <v>73</v>
      </c>
      <c r="H144">
        <v>19.5</v>
      </c>
      <c r="I144">
        <v>26</v>
      </c>
      <c r="J144">
        <v>1</v>
      </c>
    </row>
    <row r="145" spans="1:10" x14ac:dyDescent="0.25">
      <c r="A145" t="s">
        <v>95</v>
      </c>
      <c r="B145" t="s">
        <v>35</v>
      </c>
      <c r="C145" t="s">
        <v>36</v>
      </c>
      <c r="D145" t="s">
        <v>72</v>
      </c>
      <c r="E145" t="s">
        <v>96</v>
      </c>
      <c r="F145" t="s">
        <v>4</v>
      </c>
      <c r="G145" t="s">
        <v>73</v>
      </c>
      <c r="H145">
        <v>19.5</v>
      </c>
      <c r="I145">
        <v>6</v>
      </c>
      <c r="J145" s="7">
        <v>0</v>
      </c>
    </row>
    <row r="146" spans="1:10" x14ac:dyDescent="0.25">
      <c r="A146" t="s">
        <v>121</v>
      </c>
      <c r="B146" t="s">
        <v>35</v>
      </c>
      <c r="C146" t="s">
        <v>36</v>
      </c>
      <c r="D146" t="s">
        <v>119</v>
      </c>
      <c r="E146" t="s">
        <v>122</v>
      </c>
      <c r="F146" t="s">
        <v>4</v>
      </c>
      <c r="G146" t="s">
        <v>120</v>
      </c>
      <c r="H146">
        <v>20.25</v>
      </c>
      <c r="I146">
        <v>27</v>
      </c>
      <c r="J146">
        <v>1</v>
      </c>
    </row>
    <row r="147" spans="1:10" x14ac:dyDescent="0.25">
      <c r="A147" t="s">
        <v>121</v>
      </c>
      <c r="B147" t="s">
        <v>35</v>
      </c>
      <c r="C147" t="s">
        <v>36</v>
      </c>
      <c r="D147" t="s">
        <v>119</v>
      </c>
      <c r="E147" t="s">
        <v>122</v>
      </c>
      <c r="F147" t="s">
        <v>4</v>
      </c>
      <c r="G147" t="s">
        <v>120</v>
      </c>
      <c r="H147">
        <v>20.25</v>
      </c>
      <c r="I147">
        <v>5</v>
      </c>
      <c r="J147" s="7">
        <v>0</v>
      </c>
    </row>
    <row r="148" spans="1:10" x14ac:dyDescent="0.25">
      <c r="A148" t="s">
        <v>205</v>
      </c>
      <c r="B148" t="s">
        <v>150</v>
      </c>
      <c r="C148" t="s">
        <v>36</v>
      </c>
      <c r="D148" t="s">
        <v>81</v>
      </c>
      <c r="E148" t="s">
        <v>206</v>
      </c>
      <c r="F148" t="s">
        <v>132</v>
      </c>
      <c r="G148" t="s">
        <v>83</v>
      </c>
      <c r="H148">
        <v>21</v>
      </c>
      <c r="I148">
        <v>28</v>
      </c>
      <c r="J148">
        <v>1</v>
      </c>
    </row>
    <row r="149" spans="1:10" x14ac:dyDescent="0.25">
      <c r="A149" t="s">
        <v>205</v>
      </c>
      <c r="B149" t="s">
        <v>150</v>
      </c>
      <c r="C149" t="s">
        <v>36</v>
      </c>
      <c r="D149" t="s">
        <v>81</v>
      </c>
      <c r="E149" t="s">
        <v>206</v>
      </c>
      <c r="F149" t="s">
        <v>132</v>
      </c>
      <c r="G149" t="s">
        <v>83</v>
      </c>
      <c r="H149">
        <v>21</v>
      </c>
      <c r="I149">
        <v>5</v>
      </c>
      <c r="J149" s="7">
        <v>0</v>
      </c>
    </row>
    <row r="150" spans="1:10" x14ac:dyDescent="0.25">
      <c r="A150" t="s">
        <v>127</v>
      </c>
      <c r="B150" t="s">
        <v>35</v>
      </c>
      <c r="C150" t="s">
        <v>36</v>
      </c>
      <c r="D150" t="s">
        <v>125</v>
      </c>
      <c r="E150" t="s">
        <v>128</v>
      </c>
      <c r="F150" t="s">
        <v>4</v>
      </c>
      <c r="G150" t="s">
        <v>126</v>
      </c>
      <c r="H150">
        <v>21.75</v>
      </c>
      <c r="I150">
        <v>29</v>
      </c>
      <c r="J150">
        <v>1</v>
      </c>
    </row>
    <row r="151" spans="1:10" x14ac:dyDescent="0.25">
      <c r="A151" t="s">
        <v>127</v>
      </c>
      <c r="B151" t="s">
        <v>35</v>
      </c>
      <c r="C151" t="s">
        <v>36</v>
      </c>
      <c r="D151" t="s">
        <v>125</v>
      </c>
      <c r="E151" t="s">
        <v>128</v>
      </c>
      <c r="F151" t="s">
        <v>4</v>
      </c>
      <c r="G151" t="s">
        <v>126</v>
      </c>
      <c r="H151">
        <v>21.75</v>
      </c>
      <c r="I151">
        <v>5</v>
      </c>
      <c r="J151" s="7">
        <v>0</v>
      </c>
    </row>
    <row r="152" spans="1:10" x14ac:dyDescent="0.25">
      <c r="A152" t="s">
        <v>34</v>
      </c>
      <c r="B152" t="s">
        <v>35</v>
      </c>
      <c r="C152" t="s">
        <v>36</v>
      </c>
      <c r="D152" t="s">
        <v>37</v>
      </c>
      <c r="E152" t="s">
        <v>38</v>
      </c>
      <c r="F152" t="s">
        <v>4</v>
      </c>
      <c r="G152" t="s">
        <v>39</v>
      </c>
      <c r="H152">
        <v>22.5</v>
      </c>
      <c r="I152">
        <v>30</v>
      </c>
      <c r="J152">
        <v>1</v>
      </c>
    </row>
    <row r="153" spans="1:10" x14ac:dyDescent="0.25">
      <c r="A153" t="s">
        <v>34</v>
      </c>
      <c r="B153" t="s">
        <v>35</v>
      </c>
      <c r="C153" t="s">
        <v>36</v>
      </c>
      <c r="D153" t="s">
        <v>37</v>
      </c>
      <c r="E153" t="s">
        <v>38</v>
      </c>
      <c r="F153" t="s">
        <v>4</v>
      </c>
      <c r="G153" t="s">
        <v>39</v>
      </c>
      <c r="H153">
        <v>22.5</v>
      </c>
      <c r="I153">
        <v>4</v>
      </c>
      <c r="J153" s="7">
        <v>0</v>
      </c>
    </row>
    <row r="154" spans="1:10" x14ac:dyDescent="0.25">
      <c r="A154" t="s">
        <v>105</v>
      </c>
      <c r="B154" t="s">
        <v>35</v>
      </c>
      <c r="C154" t="s">
        <v>36</v>
      </c>
      <c r="D154" t="s">
        <v>78</v>
      </c>
      <c r="E154" t="s">
        <v>106</v>
      </c>
      <c r="F154" t="s">
        <v>4</v>
      </c>
      <c r="G154" t="s">
        <v>79</v>
      </c>
      <c r="H154">
        <v>23.25</v>
      </c>
      <c r="I154">
        <v>31</v>
      </c>
      <c r="J154">
        <v>1</v>
      </c>
    </row>
    <row r="155" spans="1:10" x14ac:dyDescent="0.25">
      <c r="A155" t="s">
        <v>105</v>
      </c>
      <c r="B155" t="s">
        <v>35</v>
      </c>
      <c r="C155" t="s">
        <v>36</v>
      </c>
      <c r="D155" t="s">
        <v>78</v>
      </c>
      <c r="E155" t="s">
        <v>106</v>
      </c>
      <c r="F155" t="s">
        <v>4</v>
      </c>
      <c r="G155" t="s">
        <v>79</v>
      </c>
      <c r="H155">
        <v>23.25</v>
      </c>
      <c r="I155">
        <v>0</v>
      </c>
      <c r="J155" s="7">
        <v>0</v>
      </c>
    </row>
    <row r="156" spans="1:10" x14ac:dyDescent="0.25">
      <c r="A156" t="s">
        <v>156</v>
      </c>
      <c r="B156" t="s">
        <v>150</v>
      </c>
      <c r="C156" t="s">
        <v>36</v>
      </c>
      <c r="D156" t="s">
        <v>43</v>
      </c>
      <c r="E156" t="s">
        <v>157</v>
      </c>
      <c r="F156" t="s">
        <v>141</v>
      </c>
      <c r="G156" t="s">
        <v>45</v>
      </c>
      <c r="H156">
        <v>24</v>
      </c>
      <c r="I156">
        <v>32</v>
      </c>
      <c r="J156">
        <v>1</v>
      </c>
    </row>
    <row r="157" spans="1:10" x14ac:dyDescent="0.25">
      <c r="A157" t="s">
        <v>156</v>
      </c>
      <c r="B157" t="s">
        <v>150</v>
      </c>
      <c r="C157" t="s">
        <v>36</v>
      </c>
      <c r="D157" t="s">
        <v>43</v>
      </c>
      <c r="E157" t="s">
        <v>157</v>
      </c>
      <c r="F157" t="s">
        <v>141</v>
      </c>
      <c r="G157" t="s">
        <v>45</v>
      </c>
      <c r="H157">
        <v>24</v>
      </c>
      <c r="I157">
        <v>2</v>
      </c>
      <c r="J157" s="7">
        <v>0</v>
      </c>
    </row>
    <row r="158" spans="1:10" x14ac:dyDescent="0.25">
      <c r="A158" t="s">
        <v>137</v>
      </c>
      <c r="B158" t="s">
        <v>35</v>
      </c>
      <c r="C158" t="s">
        <v>36</v>
      </c>
      <c r="D158" t="s">
        <v>78</v>
      </c>
      <c r="E158" t="s">
        <v>138</v>
      </c>
      <c r="F158" t="s">
        <v>7</v>
      </c>
      <c r="G158" t="s">
        <v>79</v>
      </c>
      <c r="H158">
        <v>24.75</v>
      </c>
      <c r="I158">
        <v>33</v>
      </c>
      <c r="J158">
        <v>1</v>
      </c>
    </row>
    <row r="159" spans="1:10" x14ac:dyDescent="0.25">
      <c r="A159" t="s">
        <v>137</v>
      </c>
      <c r="B159" t="s">
        <v>35</v>
      </c>
      <c r="C159" t="s">
        <v>36</v>
      </c>
      <c r="D159" t="s">
        <v>78</v>
      </c>
      <c r="E159" t="s">
        <v>138</v>
      </c>
      <c r="F159" t="s">
        <v>7</v>
      </c>
      <c r="G159" t="s">
        <v>79</v>
      </c>
      <c r="H159">
        <v>24.75</v>
      </c>
      <c r="I159">
        <v>5</v>
      </c>
      <c r="J159" s="7">
        <v>0</v>
      </c>
    </row>
    <row r="160" spans="1:10" x14ac:dyDescent="0.25">
      <c r="A160" t="s">
        <v>101</v>
      </c>
      <c r="B160" t="s">
        <v>35</v>
      </c>
      <c r="C160" t="s">
        <v>36</v>
      </c>
      <c r="D160" t="s">
        <v>78</v>
      </c>
      <c r="E160" t="s">
        <v>102</v>
      </c>
      <c r="F160" t="s">
        <v>4</v>
      </c>
      <c r="G160" t="s">
        <v>79</v>
      </c>
      <c r="H160">
        <v>25.5</v>
      </c>
      <c r="I160">
        <v>34</v>
      </c>
      <c r="J160">
        <v>1</v>
      </c>
    </row>
    <row r="161" spans="1:10" x14ac:dyDescent="0.25">
      <c r="A161" t="s">
        <v>101</v>
      </c>
      <c r="B161" t="s">
        <v>35</v>
      </c>
      <c r="C161" t="s">
        <v>36</v>
      </c>
      <c r="D161" t="s">
        <v>78</v>
      </c>
      <c r="E161" t="s">
        <v>102</v>
      </c>
      <c r="F161" t="s">
        <v>4</v>
      </c>
      <c r="G161" t="s">
        <v>79</v>
      </c>
      <c r="H161">
        <v>25.5</v>
      </c>
      <c r="I161">
        <v>3</v>
      </c>
      <c r="J161" s="7">
        <v>0</v>
      </c>
    </row>
    <row r="162" spans="1:10" x14ac:dyDescent="0.25">
      <c r="A162" t="s">
        <v>46</v>
      </c>
      <c r="B162" t="s">
        <v>35</v>
      </c>
      <c r="C162" t="s">
        <v>36</v>
      </c>
      <c r="D162" t="s">
        <v>47</v>
      </c>
      <c r="E162" t="s">
        <v>48</v>
      </c>
      <c r="F162" t="s">
        <v>4</v>
      </c>
      <c r="G162" t="s">
        <v>49</v>
      </c>
      <c r="H162">
        <v>26.25</v>
      </c>
      <c r="I162">
        <v>35</v>
      </c>
      <c r="J162">
        <v>1</v>
      </c>
    </row>
    <row r="163" spans="1:10" x14ac:dyDescent="0.25">
      <c r="A163" t="s">
        <v>46</v>
      </c>
      <c r="B163" t="s">
        <v>35</v>
      </c>
      <c r="C163" t="s">
        <v>36</v>
      </c>
      <c r="D163" t="s">
        <v>47</v>
      </c>
      <c r="E163" t="s">
        <v>48</v>
      </c>
      <c r="F163" t="s">
        <v>4</v>
      </c>
      <c r="G163" t="s">
        <v>49</v>
      </c>
      <c r="H163">
        <v>26.25</v>
      </c>
      <c r="I163">
        <v>4</v>
      </c>
      <c r="J163" s="7">
        <v>0</v>
      </c>
    </row>
    <row r="164" spans="1:10" x14ac:dyDescent="0.25">
      <c r="A164" t="s">
        <v>149</v>
      </c>
      <c r="B164" t="s">
        <v>150</v>
      </c>
      <c r="C164" t="s">
        <v>36</v>
      </c>
      <c r="D164" t="s">
        <v>109</v>
      </c>
      <c r="E164" t="s">
        <v>151</v>
      </c>
      <c r="F164" t="s">
        <v>141</v>
      </c>
      <c r="G164" t="s">
        <v>110</v>
      </c>
      <c r="H164">
        <v>27</v>
      </c>
      <c r="I164">
        <v>36</v>
      </c>
      <c r="J164">
        <v>1</v>
      </c>
    </row>
    <row r="165" spans="1:10" x14ac:dyDescent="0.25">
      <c r="A165" t="s">
        <v>149</v>
      </c>
      <c r="B165" t="s">
        <v>150</v>
      </c>
      <c r="C165" t="s">
        <v>36</v>
      </c>
      <c r="D165" t="s">
        <v>109</v>
      </c>
      <c r="E165" t="s">
        <v>151</v>
      </c>
      <c r="F165" t="s">
        <v>141</v>
      </c>
      <c r="G165" t="s">
        <v>110</v>
      </c>
      <c r="H165">
        <v>27</v>
      </c>
      <c r="I165">
        <v>6</v>
      </c>
      <c r="J165" s="7">
        <v>0</v>
      </c>
    </row>
    <row r="166" spans="1:10" x14ac:dyDescent="0.25">
      <c r="A166" t="s">
        <v>139</v>
      </c>
      <c r="B166" t="s">
        <v>35</v>
      </c>
      <c r="C166" t="s">
        <v>36</v>
      </c>
      <c r="D166" t="s">
        <v>125</v>
      </c>
      <c r="E166" t="s">
        <v>140</v>
      </c>
      <c r="F166" t="s">
        <v>132</v>
      </c>
      <c r="G166" t="s">
        <v>126</v>
      </c>
      <c r="H166">
        <v>27.75</v>
      </c>
      <c r="I166">
        <v>37</v>
      </c>
      <c r="J166">
        <v>1</v>
      </c>
    </row>
    <row r="167" spans="1:10" x14ac:dyDescent="0.25">
      <c r="A167" t="s">
        <v>139</v>
      </c>
      <c r="B167" t="s">
        <v>35</v>
      </c>
      <c r="C167" t="s">
        <v>36</v>
      </c>
      <c r="D167" t="s">
        <v>125</v>
      </c>
      <c r="E167" t="s">
        <v>140</v>
      </c>
      <c r="F167" t="s">
        <v>132</v>
      </c>
      <c r="G167" t="s">
        <v>126</v>
      </c>
      <c r="H167">
        <v>27.75</v>
      </c>
      <c r="I167">
        <v>3</v>
      </c>
      <c r="J167" s="7">
        <v>0</v>
      </c>
    </row>
    <row r="168" spans="1:10" x14ac:dyDescent="0.25">
      <c r="A168" t="s">
        <v>84</v>
      </c>
      <c r="B168" t="s">
        <v>35</v>
      </c>
      <c r="C168" t="s">
        <v>36</v>
      </c>
      <c r="D168" t="s">
        <v>85</v>
      </c>
      <c r="E168" t="s">
        <v>86</v>
      </c>
      <c r="F168" t="s">
        <v>4</v>
      </c>
      <c r="G168" t="s">
        <v>87</v>
      </c>
      <c r="H168">
        <v>28.5</v>
      </c>
      <c r="I168">
        <v>38</v>
      </c>
      <c r="J168">
        <v>1</v>
      </c>
    </row>
    <row r="169" spans="1:10" x14ac:dyDescent="0.25">
      <c r="A169" t="s">
        <v>84</v>
      </c>
      <c r="B169" t="s">
        <v>35</v>
      </c>
      <c r="C169" t="s">
        <v>36</v>
      </c>
      <c r="D169" t="s">
        <v>85</v>
      </c>
      <c r="E169" t="s">
        <v>86</v>
      </c>
      <c r="F169" t="s">
        <v>4</v>
      </c>
      <c r="G169" t="s">
        <v>87</v>
      </c>
      <c r="H169">
        <v>28.5</v>
      </c>
      <c r="I169">
        <v>4</v>
      </c>
      <c r="J169" s="7">
        <v>0</v>
      </c>
    </row>
    <row r="170" spans="1:10" x14ac:dyDescent="0.25">
      <c r="A170" t="s">
        <v>58</v>
      </c>
      <c r="B170" t="s">
        <v>35</v>
      </c>
      <c r="C170" t="s">
        <v>36</v>
      </c>
      <c r="D170" t="s">
        <v>53</v>
      </c>
      <c r="E170" t="s">
        <v>59</v>
      </c>
      <c r="F170" t="s">
        <v>4</v>
      </c>
      <c r="G170" t="s">
        <v>55</v>
      </c>
      <c r="H170">
        <v>29.25</v>
      </c>
      <c r="I170">
        <v>39</v>
      </c>
      <c r="J170">
        <v>1</v>
      </c>
    </row>
    <row r="171" spans="1:10" x14ac:dyDescent="0.25">
      <c r="A171" t="s">
        <v>58</v>
      </c>
      <c r="B171" t="s">
        <v>35</v>
      </c>
      <c r="C171" t="s">
        <v>36</v>
      </c>
      <c r="D171" t="s">
        <v>53</v>
      </c>
      <c r="E171" t="s">
        <v>59</v>
      </c>
      <c r="F171" t="s">
        <v>4</v>
      </c>
      <c r="G171" t="s">
        <v>55</v>
      </c>
      <c r="H171">
        <v>29.25</v>
      </c>
      <c r="I171">
        <v>5</v>
      </c>
      <c r="J171" s="7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898B-A029-4D14-BD92-224990534329}">
  <dimension ref="A1:L25"/>
  <sheetViews>
    <sheetView topLeftCell="A5" workbookViewId="0">
      <selection activeCell="A14" sqref="A14:I25"/>
    </sheetView>
  </sheetViews>
  <sheetFormatPr defaultRowHeight="15" x14ac:dyDescent="0.25"/>
  <cols>
    <col min="1" max="1" width="20" bestFit="1" customWidth="1"/>
    <col min="2" max="2" width="14.5703125" bestFit="1" customWidth="1"/>
    <col min="3" max="3" width="27.140625" bestFit="1" customWidth="1"/>
    <col min="4" max="4" width="16.7109375" bestFit="1" customWidth="1"/>
    <col min="5" max="5" width="13.140625" bestFit="1" customWidth="1"/>
    <col min="6" max="6" width="16.140625" bestFit="1" customWidth="1"/>
    <col min="7" max="7" width="25.140625" bestFit="1" customWidth="1"/>
    <col min="8" max="8" width="6" bestFit="1" customWidth="1"/>
    <col min="9" max="9" width="12.28515625" bestFit="1" customWidth="1"/>
    <col min="10" max="10" width="4.42578125" bestFit="1" customWidth="1"/>
  </cols>
  <sheetData>
    <row r="1" spans="1:12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260</v>
      </c>
      <c r="I1" s="1" t="s">
        <v>264</v>
      </c>
      <c r="J1" s="1" t="s">
        <v>261</v>
      </c>
      <c r="L1">
        <v>0.255</v>
      </c>
    </row>
    <row r="2" spans="1:12" x14ac:dyDescent="0.25">
      <c r="A2" s="2" t="s">
        <v>238</v>
      </c>
      <c r="B2" s="2" t="s">
        <v>192</v>
      </c>
      <c r="C2" s="2" t="s">
        <v>154</v>
      </c>
      <c r="D2" s="2" t="s">
        <v>107</v>
      </c>
      <c r="E2" s="2" t="s">
        <v>239</v>
      </c>
      <c r="F2" s="2" t="s">
        <v>4</v>
      </c>
      <c r="G2" s="2" t="s">
        <v>108</v>
      </c>
      <c r="H2" s="2">
        <f>$L$1*I2</f>
        <v>0.255</v>
      </c>
      <c r="I2" s="2">
        <v>1</v>
      </c>
      <c r="J2" s="2"/>
    </row>
    <row r="3" spans="1:12" x14ac:dyDescent="0.25">
      <c r="A3" t="s">
        <v>198</v>
      </c>
      <c r="B3" t="s">
        <v>199</v>
      </c>
      <c r="C3" t="s">
        <v>154</v>
      </c>
      <c r="D3" t="s">
        <v>85</v>
      </c>
      <c r="E3" t="s">
        <v>200</v>
      </c>
      <c r="F3" t="s">
        <v>7</v>
      </c>
      <c r="G3" t="s">
        <v>87</v>
      </c>
      <c r="H3" s="2">
        <f t="shared" ref="H3:H25" si="0">$L$1*I3</f>
        <v>0.51</v>
      </c>
      <c r="I3">
        <v>2</v>
      </c>
    </row>
    <row r="4" spans="1:12" x14ac:dyDescent="0.25">
      <c r="A4" t="s">
        <v>256</v>
      </c>
      <c r="B4" t="s">
        <v>153</v>
      </c>
      <c r="C4" t="s">
        <v>154</v>
      </c>
      <c r="D4" t="s">
        <v>109</v>
      </c>
      <c r="E4" t="s">
        <v>257</v>
      </c>
      <c r="F4" t="s">
        <v>4</v>
      </c>
      <c r="G4" t="s">
        <v>110</v>
      </c>
      <c r="H4" s="2">
        <f t="shared" si="0"/>
        <v>0.76500000000000001</v>
      </c>
      <c r="I4">
        <v>3</v>
      </c>
    </row>
    <row r="5" spans="1:12" x14ac:dyDescent="0.25">
      <c r="A5" s="2" t="s">
        <v>212</v>
      </c>
      <c r="B5" s="2" t="s">
        <v>213</v>
      </c>
      <c r="C5" s="2" t="s">
        <v>154</v>
      </c>
      <c r="D5" s="2" t="s">
        <v>144</v>
      </c>
      <c r="E5" s="2" t="s">
        <v>214</v>
      </c>
      <c r="F5" s="2" t="s">
        <v>7</v>
      </c>
      <c r="G5" s="2" t="s">
        <v>145</v>
      </c>
      <c r="H5" s="2">
        <f t="shared" si="0"/>
        <v>1.02</v>
      </c>
      <c r="I5" s="2">
        <v>4</v>
      </c>
      <c r="J5" s="2"/>
    </row>
    <row r="6" spans="1:12" x14ac:dyDescent="0.25">
      <c r="A6" t="s">
        <v>217</v>
      </c>
      <c r="B6" t="s">
        <v>192</v>
      </c>
      <c r="C6" t="s">
        <v>154</v>
      </c>
      <c r="D6" t="s">
        <v>60</v>
      </c>
      <c r="E6" t="s">
        <v>218</v>
      </c>
      <c r="F6" t="s">
        <v>4</v>
      </c>
      <c r="G6" t="s">
        <v>61</v>
      </c>
      <c r="H6" s="2">
        <f t="shared" si="0"/>
        <v>1.2749999999999999</v>
      </c>
      <c r="I6">
        <v>5</v>
      </c>
    </row>
    <row r="7" spans="1:12" x14ac:dyDescent="0.25">
      <c r="A7" t="s">
        <v>236</v>
      </c>
      <c r="B7" t="s">
        <v>192</v>
      </c>
      <c r="C7" t="s">
        <v>154</v>
      </c>
      <c r="D7" t="s">
        <v>72</v>
      </c>
      <c r="E7" t="s">
        <v>237</v>
      </c>
      <c r="F7" t="s">
        <v>4</v>
      </c>
      <c r="G7" t="s">
        <v>73</v>
      </c>
      <c r="H7" s="2">
        <f t="shared" si="0"/>
        <v>1.53</v>
      </c>
      <c r="I7">
        <v>6</v>
      </c>
    </row>
    <row r="8" spans="1:12" x14ac:dyDescent="0.25">
      <c r="A8" s="2" t="s">
        <v>196</v>
      </c>
      <c r="B8" s="2" t="s">
        <v>153</v>
      </c>
      <c r="C8" s="2" t="s">
        <v>154</v>
      </c>
      <c r="D8" s="2" t="s">
        <v>109</v>
      </c>
      <c r="E8" s="2" t="s">
        <v>197</v>
      </c>
      <c r="F8" s="2" t="s">
        <v>7</v>
      </c>
      <c r="G8" s="2" t="s">
        <v>110</v>
      </c>
      <c r="H8" s="2">
        <f t="shared" si="0"/>
        <v>1.7850000000000001</v>
      </c>
      <c r="I8" s="2">
        <v>7</v>
      </c>
      <c r="J8" s="2"/>
    </row>
    <row r="9" spans="1:12" x14ac:dyDescent="0.25">
      <c r="A9" t="s">
        <v>152</v>
      </c>
      <c r="B9" t="s">
        <v>153</v>
      </c>
      <c r="C9" t="s">
        <v>154</v>
      </c>
      <c r="D9" t="s">
        <v>109</v>
      </c>
      <c r="E9" t="s">
        <v>155</v>
      </c>
      <c r="F9" t="s">
        <v>141</v>
      </c>
      <c r="G9" t="s">
        <v>110</v>
      </c>
      <c r="H9" s="2">
        <f t="shared" si="0"/>
        <v>2.04</v>
      </c>
      <c r="I9">
        <v>8</v>
      </c>
    </row>
    <row r="10" spans="1:12" x14ac:dyDescent="0.25">
      <c r="A10" s="2" t="s">
        <v>221</v>
      </c>
      <c r="B10" s="2" t="s">
        <v>192</v>
      </c>
      <c r="C10" s="2" t="s">
        <v>154</v>
      </c>
      <c r="D10" s="2" t="s">
        <v>63</v>
      </c>
      <c r="E10" s="2" t="s">
        <v>222</v>
      </c>
      <c r="F10" s="2" t="s">
        <v>4</v>
      </c>
      <c r="G10" s="2" t="s">
        <v>65</v>
      </c>
      <c r="H10" s="2">
        <f t="shared" si="0"/>
        <v>2.2949999999999999</v>
      </c>
      <c r="I10">
        <v>9</v>
      </c>
      <c r="J10" s="2"/>
    </row>
    <row r="11" spans="1:12" x14ac:dyDescent="0.25">
      <c r="A11" t="s">
        <v>168</v>
      </c>
      <c r="B11" t="s">
        <v>153</v>
      </c>
      <c r="C11" t="s">
        <v>154</v>
      </c>
      <c r="D11" t="s">
        <v>43</v>
      </c>
      <c r="E11" t="s">
        <v>169</v>
      </c>
      <c r="F11" t="s">
        <v>132</v>
      </c>
      <c r="G11" t="s">
        <v>45</v>
      </c>
      <c r="H11" s="2">
        <f t="shared" si="0"/>
        <v>2.5499999999999998</v>
      </c>
      <c r="I11" s="2">
        <v>10</v>
      </c>
    </row>
    <row r="12" spans="1:12" x14ac:dyDescent="0.25">
      <c r="A12" t="s">
        <v>250</v>
      </c>
      <c r="B12" t="s">
        <v>192</v>
      </c>
      <c r="C12" t="s">
        <v>154</v>
      </c>
      <c r="D12" t="s">
        <v>85</v>
      </c>
      <c r="E12" t="s">
        <v>251</v>
      </c>
      <c r="F12" t="s">
        <v>4</v>
      </c>
      <c r="G12" t="s">
        <v>87</v>
      </c>
      <c r="H12" s="2">
        <f t="shared" si="0"/>
        <v>2.8050000000000002</v>
      </c>
      <c r="I12">
        <v>11</v>
      </c>
    </row>
    <row r="13" spans="1:12" x14ac:dyDescent="0.25">
      <c r="A13" s="2" t="s">
        <v>191</v>
      </c>
      <c r="B13" s="2" t="s">
        <v>192</v>
      </c>
      <c r="C13" s="2" t="s">
        <v>154</v>
      </c>
      <c r="D13" s="2" t="s">
        <v>98</v>
      </c>
      <c r="E13" s="2" t="s">
        <v>193</v>
      </c>
      <c r="F13" s="2" t="s">
        <v>7</v>
      </c>
      <c r="G13" s="2" t="s">
        <v>100</v>
      </c>
      <c r="H13" s="2">
        <f t="shared" si="0"/>
        <v>3.06</v>
      </c>
      <c r="I13">
        <v>12</v>
      </c>
      <c r="J13" s="2"/>
    </row>
    <row r="14" spans="1:12" s="5" customFormat="1" x14ac:dyDescent="0.25">
      <c r="A14" s="6" t="s">
        <v>238</v>
      </c>
      <c r="B14" s="6" t="s">
        <v>192</v>
      </c>
      <c r="C14" s="6" t="s">
        <v>154</v>
      </c>
      <c r="D14" s="6" t="s">
        <v>107</v>
      </c>
      <c r="E14" s="6" t="s">
        <v>239</v>
      </c>
      <c r="F14" s="6" t="s">
        <v>4</v>
      </c>
      <c r="G14" s="6" t="s">
        <v>108</v>
      </c>
      <c r="H14" s="2">
        <f>$L$1*I14</f>
        <v>0.255</v>
      </c>
      <c r="I14" s="2">
        <v>1</v>
      </c>
    </row>
    <row r="15" spans="1:12" x14ac:dyDescent="0.25">
      <c r="A15" t="s">
        <v>198</v>
      </c>
      <c r="B15" t="s">
        <v>199</v>
      </c>
      <c r="C15" t="s">
        <v>154</v>
      </c>
      <c r="D15" t="s">
        <v>85</v>
      </c>
      <c r="E15" t="s">
        <v>200</v>
      </c>
      <c r="F15" t="s">
        <v>7</v>
      </c>
      <c r="G15" t="s">
        <v>87</v>
      </c>
      <c r="H15" s="2">
        <f t="shared" si="0"/>
        <v>0.51</v>
      </c>
      <c r="I15">
        <v>2</v>
      </c>
    </row>
    <row r="16" spans="1:12" x14ac:dyDescent="0.25">
      <c r="A16" t="s">
        <v>256</v>
      </c>
      <c r="B16" t="s">
        <v>153</v>
      </c>
      <c r="C16" t="s">
        <v>154</v>
      </c>
      <c r="D16" t="s">
        <v>109</v>
      </c>
      <c r="E16" t="s">
        <v>257</v>
      </c>
      <c r="F16" t="s">
        <v>4</v>
      </c>
      <c r="G16" t="s">
        <v>110</v>
      </c>
      <c r="H16" s="2">
        <f t="shared" si="0"/>
        <v>0.76500000000000001</v>
      </c>
      <c r="I16">
        <v>3</v>
      </c>
    </row>
    <row r="17" spans="1:9" x14ac:dyDescent="0.25">
      <c r="A17" s="2" t="s">
        <v>212</v>
      </c>
      <c r="B17" s="2" t="s">
        <v>213</v>
      </c>
      <c r="C17" s="2" t="s">
        <v>154</v>
      </c>
      <c r="D17" s="2" t="s">
        <v>144</v>
      </c>
      <c r="E17" s="2" t="s">
        <v>214</v>
      </c>
      <c r="F17" s="2" t="s">
        <v>7</v>
      </c>
      <c r="G17" s="2" t="s">
        <v>145</v>
      </c>
      <c r="H17" s="2">
        <f t="shared" si="0"/>
        <v>1.02</v>
      </c>
      <c r="I17" s="2">
        <v>4</v>
      </c>
    </row>
    <row r="18" spans="1:9" x14ac:dyDescent="0.25">
      <c r="A18" t="s">
        <v>217</v>
      </c>
      <c r="B18" t="s">
        <v>192</v>
      </c>
      <c r="C18" t="s">
        <v>154</v>
      </c>
      <c r="D18" t="s">
        <v>60</v>
      </c>
      <c r="E18" t="s">
        <v>218</v>
      </c>
      <c r="F18" t="s">
        <v>4</v>
      </c>
      <c r="G18" t="s">
        <v>61</v>
      </c>
      <c r="H18" s="2">
        <f t="shared" si="0"/>
        <v>1.2749999999999999</v>
      </c>
      <c r="I18">
        <v>5</v>
      </c>
    </row>
    <row r="19" spans="1:9" x14ac:dyDescent="0.25">
      <c r="A19" t="s">
        <v>236</v>
      </c>
      <c r="B19" t="s">
        <v>192</v>
      </c>
      <c r="C19" t="s">
        <v>154</v>
      </c>
      <c r="D19" t="s">
        <v>72</v>
      </c>
      <c r="E19" t="s">
        <v>237</v>
      </c>
      <c r="F19" t="s">
        <v>4</v>
      </c>
      <c r="G19" t="s">
        <v>73</v>
      </c>
      <c r="H19" s="2">
        <f t="shared" si="0"/>
        <v>1.53</v>
      </c>
      <c r="I19">
        <v>6</v>
      </c>
    </row>
    <row r="20" spans="1:9" x14ac:dyDescent="0.25">
      <c r="A20" s="2" t="s">
        <v>196</v>
      </c>
      <c r="B20" s="2" t="s">
        <v>153</v>
      </c>
      <c r="C20" s="2" t="s">
        <v>154</v>
      </c>
      <c r="D20" s="2" t="s">
        <v>109</v>
      </c>
      <c r="E20" s="2" t="s">
        <v>197</v>
      </c>
      <c r="F20" s="2" t="s">
        <v>7</v>
      </c>
      <c r="G20" s="2" t="s">
        <v>110</v>
      </c>
      <c r="H20" s="2">
        <f t="shared" si="0"/>
        <v>1.7850000000000001</v>
      </c>
      <c r="I20" s="2">
        <v>7</v>
      </c>
    </row>
    <row r="21" spans="1:9" x14ac:dyDescent="0.25">
      <c r="A21" t="s">
        <v>152</v>
      </c>
      <c r="B21" t="s">
        <v>153</v>
      </c>
      <c r="C21" t="s">
        <v>154</v>
      </c>
      <c r="D21" t="s">
        <v>109</v>
      </c>
      <c r="E21" t="s">
        <v>155</v>
      </c>
      <c r="F21" t="s">
        <v>141</v>
      </c>
      <c r="G21" t="s">
        <v>110</v>
      </c>
      <c r="H21" s="2">
        <f t="shared" si="0"/>
        <v>2.04</v>
      </c>
      <c r="I21">
        <v>8</v>
      </c>
    </row>
    <row r="22" spans="1:9" x14ac:dyDescent="0.25">
      <c r="A22" s="2" t="s">
        <v>221</v>
      </c>
      <c r="B22" s="2" t="s">
        <v>192</v>
      </c>
      <c r="C22" s="2" t="s">
        <v>154</v>
      </c>
      <c r="D22" s="2" t="s">
        <v>63</v>
      </c>
      <c r="E22" s="2" t="s">
        <v>222</v>
      </c>
      <c r="F22" s="2" t="s">
        <v>4</v>
      </c>
      <c r="G22" s="2" t="s">
        <v>65</v>
      </c>
      <c r="H22" s="2">
        <f t="shared" si="0"/>
        <v>2.2949999999999999</v>
      </c>
      <c r="I22">
        <v>9</v>
      </c>
    </row>
    <row r="23" spans="1:9" x14ac:dyDescent="0.25">
      <c r="A23" t="s">
        <v>168</v>
      </c>
      <c r="B23" t="s">
        <v>153</v>
      </c>
      <c r="C23" t="s">
        <v>154</v>
      </c>
      <c r="D23" t="s">
        <v>43</v>
      </c>
      <c r="E23" t="s">
        <v>169</v>
      </c>
      <c r="F23" t="s">
        <v>132</v>
      </c>
      <c r="G23" t="s">
        <v>45</v>
      </c>
      <c r="H23" s="2">
        <f t="shared" si="0"/>
        <v>2.5499999999999998</v>
      </c>
      <c r="I23" s="2">
        <v>10</v>
      </c>
    </row>
    <row r="24" spans="1:9" x14ac:dyDescent="0.25">
      <c r="A24" t="s">
        <v>250</v>
      </c>
      <c r="B24" t="s">
        <v>192</v>
      </c>
      <c r="C24" t="s">
        <v>154</v>
      </c>
      <c r="D24" t="s">
        <v>85</v>
      </c>
      <c r="E24" t="s">
        <v>251</v>
      </c>
      <c r="F24" t="s">
        <v>4</v>
      </c>
      <c r="G24" t="s">
        <v>87</v>
      </c>
      <c r="H24" s="2">
        <f t="shared" si="0"/>
        <v>2.8050000000000002</v>
      </c>
      <c r="I24">
        <v>11</v>
      </c>
    </row>
    <row r="25" spans="1:9" x14ac:dyDescent="0.25">
      <c r="A25" s="2" t="s">
        <v>191</v>
      </c>
      <c r="B25" s="2" t="s">
        <v>192</v>
      </c>
      <c r="C25" s="2" t="s">
        <v>154</v>
      </c>
      <c r="D25" s="2" t="s">
        <v>98</v>
      </c>
      <c r="E25" s="2" t="s">
        <v>193</v>
      </c>
      <c r="F25" s="2" t="s">
        <v>7</v>
      </c>
      <c r="G25" s="2" t="s">
        <v>100</v>
      </c>
      <c r="H25" s="2">
        <f t="shared" si="0"/>
        <v>3.06</v>
      </c>
      <c r="I25">
        <v>12</v>
      </c>
    </row>
  </sheetData>
  <autoFilter ref="A1:J13" xr:uid="{7DCC898B-A029-4D14-BD92-22499053432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8907B-EF5C-455A-AD5C-DE5BBDF162B1}">
  <dimension ref="A1:M40"/>
  <sheetViews>
    <sheetView topLeftCell="A20" workbookViewId="0">
      <selection sqref="A1:J40"/>
    </sheetView>
  </sheetViews>
  <sheetFormatPr defaultRowHeight="15" x14ac:dyDescent="0.25"/>
  <cols>
    <col min="1" max="1" width="22.42578125" bestFit="1" customWidth="1"/>
    <col min="2" max="2" width="12.28515625" customWidth="1"/>
    <col min="3" max="3" width="24.85546875" customWidth="1"/>
    <col min="4" max="4" width="14.42578125" customWidth="1"/>
    <col min="5" max="5" width="10.85546875" customWidth="1"/>
    <col min="6" max="6" width="13.85546875" customWidth="1"/>
    <col min="7" max="7" width="25.140625" customWidth="1"/>
    <col min="8" max="8" width="6" bestFit="1" customWidth="1"/>
    <col min="9" max="9" width="12.28515625" bestFit="1" customWidth="1"/>
    <col min="10" max="10" width="4.42578125" bestFit="1" customWidth="1"/>
  </cols>
  <sheetData>
    <row r="1" spans="1:13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260</v>
      </c>
      <c r="I1" s="1" t="s">
        <v>264</v>
      </c>
      <c r="J1" s="1" t="s">
        <v>261</v>
      </c>
      <c r="K1" s="4"/>
      <c r="L1">
        <v>0.75</v>
      </c>
      <c r="M1" s="4" t="s">
        <v>262</v>
      </c>
    </row>
    <row r="2" spans="1:13" x14ac:dyDescent="0.25">
      <c r="A2" s="2" t="s">
        <v>74</v>
      </c>
      <c r="B2" s="2" t="s">
        <v>35</v>
      </c>
      <c r="C2" s="2" t="s">
        <v>36</v>
      </c>
      <c r="D2" s="2" t="s">
        <v>75</v>
      </c>
      <c r="E2" s="2" t="s">
        <v>76</v>
      </c>
      <c r="F2" s="2" t="s">
        <v>4</v>
      </c>
      <c r="G2" s="2" t="s">
        <v>77</v>
      </c>
      <c r="H2" s="2">
        <f>$L$1*I2</f>
        <v>0.75</v>
      </c>
      <c r="I2" s="2">
        <v>1</v>
      </c>
      <c r="J2" s="2"/>
    </row>
    <row r="3" spans="1:13" x14ac:dyDescent="0.25">
      <c r="A3" t="s">
        <v>70</v>
      </c>
      <c r="B3" t="s">
        <v>35</v>
      </c>
      <c r="C3" t="s">
        <v>36</v>
      </c>
      <c r="D3" t="s">
        <v>63</v>
      </c>
      <c r="E3" t="s">
        <v>71</v>
      </c>
      <c r="F3" t="s">
        <v>4</v>
      </c>
      <c r="G3" t="s">
        <v>65</v>
      </c>
      <c r="H3" s="2">
        <f>$L$1*I3</f>
        <v>1.5</v>
      </c>
      <c r="I3" s="2">
        <v>2</v>
      </c>
    </row>
    <row r="4" spans="1:13" x14ac:dyDescent="0.25">
      <c r="A4" s="2" t="s">
        <v>50</v>
      </c>
      <c r="B4" s="2" t="s">
        <v>35</v>
      </c>
      <c r="C4" s="2" t="s">
        <v>36</v>
      </c>
      <c r="D4" s="2" t="s">
        <v>47</v>
      </c>
      <c r="E4" s="2" t="s">
        <v>51</v>
      </c>
      <c r="F4" s="2" t="s">
        <v>4</v>
      </c>
      <c r="G4" s="2" t="s">
        <v>49</v>
      </c>
      <c r="H4" s="2">
        <f t="shared" ref="H4:H40" si="0">$L$1*I4</f>
        <v>2.25</v>
      </c>
      <c r="I4" s="2">
        <v>3</v>
      </c>
      <c r="J4" s="2"/>
    </row>
    <row r="5" spans="1:13" x14ac:dyDescent="0.25">
      <c r="A5" t="s">
        <v>117</v>
      </c>
      <c r="B5" t="s">
        <v>35</v>
      </c>
      <c r="C5" t="s">
        <v>36</v>
      </c>
      <c r="D5" t="s">
        <v>114</v>
      </c>
      <c r="E5" t="s">
        <v>118</v>
      </c>
      <c r="F5" t="s">
        <v>4</v>
      </c>
      <c r="G5" t="s">
        <v>116</v>
      </c>
      <c r="H5" s="2">
        <f t="shared" si="0"/>
        <v>3</v>
      </c>
      <c r="I5" s="2">
        <v>4</v>
      </c>
    </row>
    <row r="6" spans="1:13" x14ac:dyDescent="0.25">
      <c r="A6" s="2" t="s">
        <v>103</v>
      </c>
      <c r="B6" s="2" t="s">
        <v>35</v>
      </c>
      <c r="C6" s="2" t="s">
        <v>36</v>
      </c>
      <c r="D6" s="2" t="s">
        <v>78</v>
      </c>
      <c r="E6" s="2" t="s">
        <v>104</v>
      </c>
      <c r="F6" s="2" t="s">
        <v>4</v>
      </c>
      <c r="G6" s="2" t="s">
        <v>79</v>
      </c>
      <c r="H6" s="2">
        <f t="shared" si="0"/>
        <v>3.75</v>
      </c>
      <c r="I6" s="2">
        <v>5</v>
      </c>
      <c r="J6" s="2"/>
    </row>
    <row r="7" spans="1:13" x14ac:dyDescent="0.25">
      <c r="A7" t="s">
        <v>66</v>
      </c>
      <c r="B7" t="s">
        <v>35</v>
      </c>
      <c r="C7" t="s">
        <v>36</v>
      </c>
      <c r="D7" t="s">
        <v>63</v>
      </c>
      <c r="E7" t="s">
        <v>67</v>
      </c>
      <c r="F7" t="s">
        <v>4</v>
      </c>
      <c r="G7" t="s">
        <v>65</v>
      </c>
      <c r="H7" s="2">
        <f t="shared" si="0"/>
        <v>4.5</v>
      </c>
      <c r="I7" s="2">
        <v>6</v>
      </c>
    </row>
    <row r="8" spans="1:13" x14ac:dyDescent="0.25">
      <c r="A8" t="s">
        <v>129</v>
      </c>
      <c r="B8" t="s">
        <v>35</v>
      </c>
      <c r="C8" t="s">
        <v>36</v>
      </c>
      <c r="D8" t="s">
        <v>125</v>
      </c>
      <c r="E8" t="s">
        <v>130</v>
      </c>
      <c r="F8" t="s">
        <v>4</v>
      </c>
      <c r="G8" t="s">
        <v>126</v>
      </c>
      <c r="H8" s="2">
        <f t="shared" si="0"/>
        <v>5.25</v>
      </c>
      <c r="I8" s="2">
        <v>7</v>
      </c>
    </row>
    <row r="9" spans="1:13" x14ac:dyDescent="0.25">
      <c r="A9" t="s">
        <v>52</v>
      </c>
      <c r="B9" t="s">
        <v>35</v>
      </c>
      <c r="C9" t="s">
        <v>36</v>
      </c>
      <c r="D9" t="s">
        <v>53</v>
      </c>
      <c r="E9" t="s">
        <v>54</v>
      </c>
      <c r="F9" t="s">
        <v>4</v>
      </c>
      <c r="G9" t="s">
        <v>55</v>
      </c>
      <c r="H9" s="2">
        <f t="shared" si="0"/>
        <v>6</v>
      </c>
      <c r="I9" s="2">
        <v>8</v>
      </c>
    </row>
    <row r="10" spans="1:13" x14ac:dyDescent="0.25">
      <c r="A10" s="2" t="s">
        <v>131</v>
      </c>
      <c r="B10" s="2" t="s">
        <v>35</v>
      </c>
      <c r="C10" s="2" t="s">
        <v>36</v>
      </c>
      <c r="D10" s="2" t="s">
        <v>60</v>
      </c>
      <c r="E10" s="2" t="s">
        <v>263</v>
      </c>
      <c r="F10" s="2" t="s">
        <v>4</v>
      </c>
      <c r="G10" s="2" t="s">
        <v>61</v>
      </c>
      <c r="H10" s="2">
        <f t="shared" si="0"/>
        <v>6.75</v>
      </c>
      <c r="I10" s="2">
        <v>9</v>
      </c>
      <c r="J10" s="2"/>
    </row>
    <row r="11" spans="1:13" x14ac:dyDescent="0.25">
      <c r="A11" s="2" t="s">
        <v>26</v>
      </c>
      <c r="B11" s="2" t="s">
        <v>35</v>
      </c>
      <c r="C11" s="2" t="s">
        <v>36</v>
      </c>
      <c r="D11" s="2" t="s">
        <v>85</v>
      </c>
      <c r="E11" s="2" t="s">
        <v>88</v>
      </c>
      <c r="F11" s="2" t="s">
        <v>4</v>
      </c>
      <c r="G11" s="2" t="s">
        <v>87</v>
      </c>
      <c r="H11" s="2">
        <f t="shared" si="0"/>
        <v>7.5</v>
      </c>
      <c r="I11" s="2">
        <v>10</v>
      </c>
      <c r="J11" s="2"/>
    </row>
    <row r="12" spans="1:13" x14ac:dyDescent="0.25">
      <c r="A12" t="s">
        <v>111</v>
      </c>
      <c r="B12" t="s">
        <v>35</v>
      </c>
      <c r="C12" t="s">
        <v>36</v>
      </c>
      <c r="D12" t="s">
        <v>78</v>
      </c>
      <c r="E12" t="s">
        <v>112</v>
      </c>
      <c r="F12" t="s">
        <v>4</v>
      </c>
      <c r="G12" t="s">
        <v>79</v>
      </c>
      <c r="H12" s="2">
        <f t="shared" si="0"/>
        <v>8.25</v>
      </c>
      <c r="I12" s="2">
        <v>11</v>
      </c>
    </row>
    <row r="13" spans="1:13" x14ac:dyDescent="0.25">
      <c r="A13" s="2" t="s">
        <v>93</v>
      </c>
      <c r="B13" s="2" t="s">
        <v>35</v>
      </c>
      <c r="C13" s="2" t="s">
        <v>36</v>
      </c>
      <c r="D13" s="2" t="s">
        <v>63</v>
      </c>
      <c r="E13" s="2" t="s">
        <v>94</v>
      </c>
      <c r="F13" s="2" t="s">
        <v>4</v>
      </c>
      <c r="G13" s="2" t="s">
        <v>65</v>
      </c>
      <c r="H13" s="2">
        <f t="shared" si="0"/>
        <v>9</v>
      </c>
      <c r="I13" s="2">
        <v>12</v>
      </c>
      <c r="J13" s="2"/>
    </row>
    <row r="14" spans="1:13" x14ac:dyDescent="0.25">
      <c r="A14" s="2" t="s">
        <v>62</v>
      </c>
      <c r="B14" s="2" t="s">
        <v>35</v>
      </c>
      <c r="C14" s="2" t="s">
        <v>36</v>
      </c>
      <c r="D14" s="2" t="s">
        <v>63</v>
      </c>
      <c r="E14" s="2" t="s">
        <v>64</v>
      </c>
      <c r="F14" s="2" t="s">
        <v>4</v>
      </c>
      <c r="G14" s="2" t="s">
        <v>65</v>
      </c>
      <c r="H14" s="2">
        <f t="shared" si="0"/>
        <v>9.75</v>
      </c>
      <c r="I14" s="2">
        <v>13</v>
      </c>
      <c r="J14" s="2"/>
    </row>
    <row r="15" spans="1:13" x14ac:dyDescent="0.25">
      <c r="A15" s="2" t="s">
        <v>42</v>
      </c>
      <c r="B15" s="2" t="s">
        <v>35</v>
      </c>
      <c r="C15" s="2" t="s">
        <v>36</v>
      </c>
      <c r="D15" s="2" t="s">
        <v>43</v>
      </c>
      <c r="E15" s="2" t="s">
        <v>44</v>
      </c>
      <c r="F15" s="2" t="s">
        <v>4</v>
      </c>
      <c r="G15" s="2" t="s">
        <v>45</v>
      </c>
      <c r="H15" s="2">
        <f t="shared" si="0"/>
        <v>10.5</v>
      </c>
      <c r="I15" s="2">
        <v>14</v>
      </c>
      <c r="J15" s="2"/>
    </row>
    <row r="16" spans="1:13" x14ac:dyDescent="0.25">
      <c r="A16" s="2" t="s">
        <v>123</v>
      </c>
      <c r="B16" s="2" t="s">
        <v>35</v>
      </c>
      <c r="C16" s="2" t="s">
        <v>36</v>
      </c>
      <c r="D16" s="2" t="s">
        <v>98</v>
      </c>
      <c r="E16" s="2" t="s">
        <v>124</v>
      </c>
      <c r="F16" s="2" t="s">
        <v>4</v>
      </c>
      <c r="G16" s="2" t="s">
        <v>100</v>
      </c>
      <c r="H16" s="2">
        <f t="shared" si="0"/>
        <v>11.25</v>
      </c>
      <c r="I16" s="2">
        <v>15</v>
      </c>
      <c r="J16" s="2"/>
    </row>
    <row r="17" spans="1:10" x14ac:dyDescent="0.25">
      <c r="A17" s="2" t="s">
        <v>113</v>
      </c>
      <c r="B17" s="2" t="s">
        <v>35</v>
      </c>
      <c r="C17" s="2" t="s">
        <v>36</v>
      </c>
      <c r="D17" s="2" t="s">
        <v>114</v>
      </c>
      <c r="E17" s="2" t="s">
        <v>115</v>
      </c>
      <c r="F17" s="2" t="s">
        <v>4</v>
      </c>
      <c r="G17" s="2" t="s">
        <v>116</v>
      </c>
      <c r="H17" s="2">
        <f t="shared" si="0"/>
        <v>12</v>
      </c>
      <c r="I17" s="2">
        <v>16</v>
      </c>
      <c r="J17" s="2"/>
    </row>
    <row r="18" spans="1:10" x14ac:dyDescent="0.25">
      <c r="A18" t="s">
        <v>40</v>
      </c>
      <c r="B18" t="s">
        <v>35</v>
      </c>
      <c r="C18" t="s">
        <v>36</v>
      </c>
      <c r="D18" t="s">
        <v>37</v>
      </c>
      <c r="E18" t="s">
        <v>41</v>
      </c>
      <c r="F18" t="s">
        <v>4</v>
      </c>
      <c r="G18" t="s">
        <v>39</v>
      </c>
      <c r="H18" s="2">
        <f t="shared" si="0"/>
        <v>12.75</v>
      </c>
      <c r="I18" s="2">
        <v>17</v>
      </c>
    </row>
    <row r="19" spans="1:10" x14ac:dyDescent="0.25">
      <c r="A19" s="2" t="s">
        <v>133</v>
      </c>
      <c r="B19" s="2" t="s">
        <v>35</v>
      </c>
      <c r="C19" s="2" t="s">
        <v>36</v>
      </c>
      <c r="D19" s="2" t="s">
        <v>107</v>
      </c>
      <c r="E19" s="2" t="s">
        <v>134</v>
      </c>
      <c r="F19" s="2" t="s">
        <v>132</v>
      </c>
      <c r="G19" s="2" t="s">
        <v>108</v>
      </c>
      <c r="H19" s="2">
        <f t="shared" si="0"/>
        <v>13.5</v>
      </c>
      <c r="I19" s="2">
        <v>18</v>
      </c>
      <c r="J19" s="2"/>
    </row>
    <row r="20" spans="1:10" x14ac:dyDescent="0.25">
      <c r="A20" s="2" t="s">
        <v>80</v>
      </c>
      <c r="B20" s="2" t="s">
        <v>35</v>
      </c>
      <c r="C20" s="2" t="s">
        <v>36</v>
      </c>
      <c r="D20" s="2" t="s">
        <v>81</v>
      </c>
      <c r="E20" s="2" t="s">
        <v>82</v>
      </c>
      <c r="F20" s="2" t="s">
        <v>4</v>
      </c>
      <c r="G20" s="2" t="s">
        <v>83</v>
      </c>
      <c r="H20" s="2">
        <f t="shared" si="0"/>
        <v>14.25</v>
      </c>
      <c r="I20" s="2">
        <v>19</v>
      </c>
      <c r="J20" s="2"/>
    </row>
    <row r="21" spans="1:10" x14ac:dyDescent="0.25">
      <c r="A21" s="2" t="s">
        <v>215</v>
      </c>
      <c r="B21" s="2" t="s">
        <v>192</v>
      </c>
      <c r="C21" s="2" t="s">
        <v>36</v>
      </c>
      <c r="D21" s="2" t="s">
        <v>47</v>
      </c>
      <c r="E21" s="2" t="s">
        <v>216</v>
      </c>
      <c r="F21" s="2" t="s">
        <v>4</v>
      </c>
      <c r="G21" s="2" t="s">
        <v>49</v>
      </c>
      <c r="H21" s="2">
        <f t="shared" si="0"/>
        <v>15</v>
      </c>
      <c r="I21" s="2">
        <v>20</v>
      </c>
      <c r="J21" s="2"/>
    </row>
    <row r="22" spans="1:10" x14ac:dyDescent="0.25">
      <c r="A22" t="s">
        <v>56</v>
      </c>
      <c r="B22" t="s">
        <v>35</v>
      </c>
      <c r="C22" t="s">
        <v>36</v>
      </c>
      <c r="D22" t="s">
        <v>53</v>
      </c>
      <c r="E22" t="s">
        <v>57</v>
      </c>
      <c r="F22" t="s">
        <v>4</v>
      </c>
      <c r="G22" t="s">
        <v>55</v>
      </c>
      <c r="H22" s="2">
        <f t="shared" si="0"/>
        <v>15.75</v>
      </c>
      <c r="I22" s="2">
        <v>21</v>
      </c>
    </row>
    <row r="23" spans="1:10" x14ac:dyDescent="0.25">
      <c r="A23" s="2" t="s">
        <v>68</v>
      </c>
      <c r="B23" s="2" t="s">
        <v>35</v>
      </c>
      <c r="C23" s="2" t="s">
        <v>36</v>
      </c>
      <c r="D23" s="2" t="s">
        <v>63</v>
      </c>
      <c r="E23" s="2" t="s">
        <v>69</v>
      </c>
      <c r="F23" s="2" t="s">
        <v>4</v>
      </c>
      <c r="G23" s="2" t="s">
        <v>65</v>
      </c>
      <c r="H23" s="2">
        <f t="shared" si="0"/>
        <v>16.5</v>
      </c>
      <c r="I23" s="2">
        <v>22</v>
      </c>
      <c r="J23" s="2"/>
    </row>
    <row r="24" spans="1:10" x14ac:dyDescent="0.25">
      <c r="A24" t="s">
        <v>135</v>
      </c>
      <c r="B24" t="s">
        <v>35</v>
      </c>
      <c r="C24" t="s">
        <v>36</v>
      </c>
      <c r="D24" t="s">
        <v>107</v>
      </c>
      <c r="E24" t="s">
        <v>136</v>
      </c>
      <c r="F24" t="s">
        <v>7</v>
      </c>
      <c r="G24" t="s">
        <v>108</v>
      </c>
      <c r="H24" s="2">
        <f t="shared" si="0"/>
        <v>17.25</v>
      </c>
      <c r="I24" s="2">
        <v>23</v>
      </c>
    </row>
    <row r="25" spans="1:10" x14ac:dyDescent="0.25">
      <c r="A25" s="2" t="s">
        <v>97</v>
      </c>
      <c r="B25" s="2" t="s">
        <v>35</v>
      </c>
      <c r="C25" s="2" t="s">
        <v>36</v>
      </c>
      <c r="D25" s="2" t="s">
        <v>98</v>
      </c>
      <c r="E25" s="2" t="s">
        <v>99</v>
      </c>
      <c r="F25" s="2" t="s">
        <v>4</v>
      </c>
      <c r="G25" s="2" t="s">
        <v>100</v>
      </c>
      <c r="H25" s="2">
        <f t="shared" si="0"/>
        <v>18</v>
      </c>
      <c r="I25" s="2">
        <v>24</v>
      </c>
      <c r="J25" s="2"/>
    </row>
    <row r="26" spans="1:10" x14ac:dyDescent="0.25">
      <c r="A26" t="s">
        <v>91</v>
      </c>
      <c r="B26" t="s">
        <v>35</v>
      </c>
      <c r="C26" t="s">
        <v>36</v>
      </c>
      <c r="D26" t="s">
        <v>60</v>
      </c>
      <c r="E26" t="s">
        <v>92</v>
      </c>
      <c r="F26" t="s">
        <v>4</v>
      </c>
      <c r="G26" t="s">
        <v>61</v>
      </c>
      <c r="H26" s="2">
        <f t="shared" si="0"/>
        <v>18.75</v>
      </c>
      <c r="I26" s="2">
        <v>25</v>
      </c>
    </row>
    <row r="27" spans="1:10" x14ac:dyDescent="0.25">
      <c r="A27" t="s">
        <v>95</v>
      </c>
      <c r="B27" t="s">
        <v>35</v>
      </c>
      <c r="C27" t="s">
        <v>36</v>
      </c>
      <c r="D27" t="s">
        <v>72</v>
      </c>
      <c r="E27" t="s">
        <v>96</v>
      </c>
      <c r="F27" t="s">
        <v>4</v>
      </c>
      <c r="G27" t="s">
        <v>73</v>
      </c>
      <c r="H27" s="2">
        <f t="shared" si="0"/>
        <v>19.5</v>
      </c>
      <c r="I27" s="2">
        <v>26</v>
      </c>
    </row>
    <row r="28" spans="1:10" x14ac:dyDescent="0.25">
      <c r="A28" s="2" t="s">
        <v>121</v>
      </c>
      <c r="B28" s="2" t="s">
        <v>35</v>
      </c>
      <c r="C28" s="2" t="s">
        <v>36</v>
      </c>
      <c r="D28" s="2" t="s">
        <v>119</v>
      </c>
      <c r="E28" s="2" t="s">
        <v>122</v>
      </c>
      <c r="F28" s="2" t="s">
        <v>4</v>
      </c>
      <c r="G28" s="2" t="s">
        <v>120</v>
      </c>
      <c r="H28" s="2">
        <f t="shared" si="0"/>
        <v>20.25</v>
      </c>
      <c r="I28" s="2">
        <v>27</v>
      </c>
      <c r="J28" s="2"/>
    </row>
    <row r="29" spans="1:10" x14ac:dyDescent="0.25">
      <c r="A29" t="s">
        <v>205</v>
      </c>
      <c r="B29" t="s">
        <v>150</v>
      </c>
      <c r="C29" t="s">
        <v>36</v>
      </c>
      <c r="D29" t="s">
        <v>81</v>
      </c>
      <c r="E29" t="s">
        <v>206</v>
      </c>
      <c r="F29" t="s">
        <v>132</v>
      </c>
      <c r="G29" t="s">
        <v>83</v>
      </c>
      <c r="H29" s="2">
        <f t="shared" si="0"/>
        <v>21</v>
      </c>
      <c r="I29" s="2">
        <v>28</v>
      </c>
    </row>
    <row r="30" spans="1:10" x14ac:dyDescent="0.25">
      <c r="A30" s="2" t="s">
        <v>127</v>
      </c>
      <c r="B30" s="2" t="s">
        <v>35</v>
      </c>
      <c r="C30" s="2" t="s">
        <v>36</v>
      </c>
      <c r="D30" s="2" t="s">
        <v>125</v>
      </c>
      <c r="E30" s="2" t="s">
        <v>128</v>
      </c>
      <c r="F30" s="2" t="s">
        <v>4</v>
      </c>
      <c r="G30" s="2" t="s">
        <v>126</v>
      </c>
      <c r="H30" s="2">
        <f t="shared" si="0"/>
        <v>21.75</v>
      </c>
      <c r="I30" s="2">
        <v>29</v>
      </c>
      <c r="J30" s="2"/>
    </row>
    <row r="31" spans="1:10" x14ac:dyDescent="0.25">
      <c r="A31" s="2" t="s">
        <v>34</v>
      </c>
      <c r="B31" s="2" t="s">
        <v>35</v>
      </c>
      <c r="C31" s="2" t="s">
        <v>36</v>
      </c>
      <c r="D31" s="2" t="s">
        <v>37</v>
      </c>
      <c r="E31" s="2" t="s">
        <v>38</v>
      </c>
      <c r="F31" s="2" t="s">
        <v>4</v>
      </c>
      <c r="G31" s="2" t="s">
        <v>39</v>
      </c>
      <c r="H31" s="2">
        <f t="shared" si="0"/>
        <v>22.5</v>
      </c>
      <c r="I31" s="2">
        <v>30</v>
      </c>
      <c r="J31" s="2"/>
    </row>
    <row r="32" spans="1:10" x14ac:dyDescent="0.25">
      <c r="A32" t="s">
        <v>105</v>
      </c>
      <c r="B32" t="s">
        <v>35</v>
      </c>
      <c r="C32" t="s">
        <v>36</v>
      </c>
      <c r="D32" t="s">
        <v>78</v>
      </c>
      <c r="E32" t="s">
        <v>106</v>
      </c>
      <c r="F32" t="s">
        <v>4</v>
      </c>
      <c r="G32" t="s">
        <v>79</v>
      </c>
      <c r="H32" s="2">
        <f t="shared" si="0"/>
        <v>23.25</v>
      </c>
      <c r="I32" s="2">
        <v>31</v>
      </c>
    </row>
    <row r="33" spans="1:10" x14ac:dyDescent="0.25">
      <c r="A33" s="2" t="s">
        <v>156</v>
      </c>
      <c r="B33" s="2" t="s">
        <v>150</v>
      </c>
      <c r="C33" s="2" t="s">
        <v>36</v>
      </c>
      <c r="D33" s="2" t="s">
        <v>43</v>
      </c>
      <c r="E33" s="2" t="s">
        <v>157</v>
      </c>
      <c r="F33" s="2" t="s">
        <v>141</v>
      </c>
      <c r="G33" s="2" t="s">
        <v>45</v>
      </c>
      <c r="H33" s="2">
        <f t="shared" si="0"/>
        <v>24</v>
      </c>
      <c r="I33" s="2">
        <v>32</v>
      </c>
      <c r="J33" s="2"/>
    </row>
    <row r="34" spans="1:10" x14ac:dyDescent="0.25">
      <c r="A34" s="2" t="s">
        <v>137</v>
      </c>
      <c r="B34" s="2" t="s">
        <v>35</v>
      </c>
      <c r="C34" s="2" t="s">
        <v>36</v>
      </c>
      <c r="D34" s="2" t="s">
        <v>78</v>
      </c>
      <c r="E34" s="2" t="s">
        <v>138</v>
      </c>
      <c r="F34" s="2" t="s">
        <v>7</v>
      </c>
      <c r="G34" s="2" t="s">
        <v>79</v>
      </c>
      <c r="H34" s="2">
        <f t="shared" si="0"/>
        <v>24.75</v>
      </c>
      <c r="I34" s="2">
        <v>33</v>
      </c>
      <c r="J34" s="2"/>
    </row>
    <row r="35" spans="1:10" x14ac:dyDescent="0.25">
      <c r="A35" t="s">
        <v>101</v>
      </c>
      <c r="B35" t="s">
        <v>35</v>
      </c>
      <c r="C35" t="s">
        <v>36</v>
      </c>
      <c r="D35" t="s">
        <v>78</v>
      </c>
      <c r="E35" t="s">
        <v>102</v>
      </c>
      <c r="F35" t="s">
        <v>4</v>
      </c>
      <c r="G35" t="s">
        <v>79</v>
      </c>
      <c r="H35" s="2">
        <f t="shared" si="0"/>
        <v>25.5</v>
      </c>
      <c r="I35" s="2">
        <v>34</v>
      </c>
    </row>
    <row r="36" spans="1:10" x14ac:dyDescent="0.25">
      <c r="A36" t="s">
        <v>46</v>
      </c>
      <c r="B36" t="s">
        <v>35</v>
      </c>
      <c r="C36" t="s">
        <v>36</v>
      </c>
      <c r="D36" t="s">
        <v>47</v>
      </c>
      <c r="E36" t="s">
        <v>48</v>
      </c>
      <c r="F36" t="s">
        <v>4</v>
      </c>
      <c r="G36" t="s">
        <v>49</v>
      </c>
      <c r="H36" s="2">
        <f t="shared" si="0"/>
        <v>26.25</v>
      </c>
      <c r="I36" s="2">
        <v>35</v>
      </c>
    </row>
    <row r="37" spans="1:10" x14ac:dyDescent="0.25">
      <c r="A37" t="s">
        <v>149</v>
      </c>
      <c r="B37" t="s">
        <v>150</v>
      </c>
      <c r="C37" t="s">
        <v>36</v>
      </c>
      <c r="D37" t="s">
        <v>109</v>
      </c>
      <c r="E37" t="s">
        <v>151</v>
      </c>
      <c r="F37" t="s">
        <v>141</v>
      </c>
      <c r="G37" t="s">
        <v>110</v>
      </c>
      <c r="H37" s="2">
        <f t="shared" si="0"/>
        <v>27</v>
      </c>
      <c r="I37" s="2">
        <v>36</v>
      </c>
    </row>
    <row r="38" spans="1:10" x14ac:dyDescent="0.25">
      <c r="A38" s="2" t="s">
        <v>139</v>
      </c>
      <c r="B38" s="2" t="s">
        <v>35</v>
      </c>
      <c r="C38" s="2" t="s">
        <v>36</v>
      </c>
      <c r="D38" s="2" t="s">
        <v>125</v>
      </c>
      <c r="E38" s="2" t="s">
        <v>140</v>
      </c>
      <c r="F38" s="2" t="s">
        <v>132</v>
      </c>
      <c r="G38" s="2" t="s">
        <v>126</v>
      </c>
      <c r="H38" s="2">
        <f t="shared" si="0"/>
        <v>27.75</v>
      </c>
      <c r="I38" s="2">
        <v>37</v>
      </c>
      <c r="J38" s="2"/>
    </row>
    <row r="39" spans="1:10" x14ac:dyDescent="0.25">
      <c r="A39" t="s">
        <v>84</v>
      </c>
      <c r="B39" t="s">
        <v>35</v>
      </c>
      <c r="C39" t="s">
        <v>36</v>
      </c>
      <c r="D39" t="s">
        <v>85</v>
      </c>
      <c r="E39" t="s">
        <v>86</v>
      </c>
      <c r="F39" t="s">
        <v>4</v>
      </c>
      <c r="G39" t="s">
        <v>87</v>
      </c>
      <c r="H39" s="2">
        <f t="shared" si="0"/>
        <v>28.5</v>
      </c>
      <c r="I39" s="2">
        <v>38</v>
      </c>
    </row>
    <row r="40" spans="1:10" x14ac:dyDescent="0.25">
      <c r="A40" t="s">
        <v>58</v>
      </c>
      <c r="B40" t="s">
        <v>35</v>
      </c>
      <c r="C40" t="s">
        <v>36</v>
      </c>
      <c r="D40" t="s">
        <v>53</v>
      </c>
      <c r="E40" t="s">
        <v>59</v>
      </c>
      <c r="F40" t="s">
        <v>4</v>
      </c>
      <c r="G40" t="s">
        <v>55</v>
      </c>
      <c r="H40" s="2">
        <f t="shared" si="0"/>
        <v>29.25</v>
      </c>
      <c r="I40" s="2">
        <v>39</v>
      </c>
    </row>
  </sheetData>
  <autoFilter ref="A1:J40" xr:uid="{8CD8907B-EF5C-455A-AD5C-DE5BBDF162B1}">
    <sortState xmlns:xlrd2="http://schemas.microsoft.com/office/spreadsheetml/2017/richdata2" ref="A2:J40">
      <sortCondition ref="E1:E40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C09D9-D610-49A6-AC74-2FD95A112D83}">
  <dimension ref="A1:I3"/>
  <sheetViews>
    <sheetView workbookViewId="0">
      <selection activeCell="A2" sqref="A2:I2"/>
    </sheetView>
  </sheetViews>
  <sheetFormatPr defaultRowHeight="15" x14ac:dyDescent="0.25"/>
  <cols>
    <col min="1" max="1" width="13.85546875" bestFit="1" customWidth="1"/>
    <col min="2" max="2" width="14.5703125" bestFit="1" customWidth="1"/>
    <col min="3" max="3" width="27.140625" bestFit="1" customWidth="1"/>
    <col min="4" max="4" width="16.7109375" bestFit="1" customWidth="1"/>
    <col min="5" max="5" width="13.140625" bestFit="1" customWidth="1"/>
    <col min="6" max="6" width="16.140625" bestFit="1" customWidth="1"/>
    <col min="7" max="7" width="25.140625" bestFit="1" customWidth="1"/>
    <col min="8" max="9" width="4.42578125" bestFit="1" customWidth="1"/>
  </cols>
  <sheetData>
    <row r="1" spans="1:9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260</v>
      </c>
      <c r="I1" s="1" t="s">
        <v>261</v>
      </c>
    </row>
    <row r="2" spans="1:9" x14ac:dyDescent="0.25">
      <c r="A2" s="2" t="s">
        <v>229</v>
      </c>
      <c r="B2" s="2" t="s">
        <v>199</v>
      </c>
      <c r="C2" s="2" t="s">
        <v>230</v>
      </c>
      <c r="D2" s="2" t="s">
        <v>78</v>
      </c>
      <c r="E2" s="2" t="s">
        <v>231</v>
      </c>
      <c r="F2" s="2" t="s">
        <v>4</v>
      </c>
      <c r="G2" s="2" t="s">
        <v>79</v>
      </c>
      <c r="H2" s="2">
        <v>3</v>
      </c>
      <c r="I2" s="2">
        <v>0.5</v>
      </c>
    </row>
    <row r="3" spans="1:9" x14ac:dyDescent="0.25">
      <c r="A3" s="3" t="s">
        <v>229</v>
      </c>
      <c r="B3" s="3" t="s">
        <v>199</v>
      </c>
      <c r="C3" s="3" t="s">
        <v>230</v>
      </c>
      <c r="D3" s="3" t="s">
        <v>63</v>
      </c>
      <c r="E3" s="3" t="s">
        <v>231</v>
      </c>
      <c r="F3" s="3" t="s">
        <v>4</v>
      </c>
      <c r="G3" s="3" t="s">
        <v>65</v>
      </c>
      <c r="H3" s="3">
        <v>3</v>
      </c>
      <c r="I3" s="2">
        <v>0.5</v>
      </c>
    </row>
  </sheetData>
  <autoFilter ref="A1:I3" xr:uid="{4ABC09D9-D610-49A6-AC74-2FD95A112D8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5E06-6F2E-4CE0-B282-A330B004ECFC}">
  <dimension ref="A1:L14"/>
  <sheetViews>
    <sheetView workbookViewId="0">
      <selection activeCell="A2" sqref="A2:J14"/>
    </sheetView>
  </sheetViews>
  <sheetFormatPr defaultRowHeight="15" x14ac:dyDescent="0.25"/>
  <cols>
    <col min="1" max="1" width="11.7109375" bestFit="1" customWidth="1"/>
    <col min="2" max="2" width="12.28515625" bestFit="1" customWidth="1"/>
    <col min="3" max="3" width="24.85546875" bestFit="1" customWidth="1"/>
    <col min="4" max="4" width="14.42578125" bestFit="1" customWidth="1"/>
    <col min="5" max="5" width="10.85546875" bestFit="1" customWidth="1"/>
    <col min="6" max="6" width="13.85546875" bestFit="1" customWidth="1"/>
    <col min="7" max="7" width="25.140625" bestFit="1" customWidth="1"/>
    <col min="8" max="8" width="6" bestFit="1" customWidth="1"/>
    <col min="9" max="9" width="12.28515625" bestFit="1" customWidth="1"/>
    <col min="10" max="10" width="4.42578125" bestFit="1" customWidth="1"/>
  </cols>
  <sheetData>
    <row r="1" spans="1:12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260</v>
      </c>
      <c r="I1" s="1" t="s">
        <v>264</v>
      </c>
      <c r="J1" s="1" t="s">
        <v>261</v>
      </c>
      <c r="L1">
        <v>0.25</v>
      </c>
    </row>
    <row r="2" spans="1:12" x14ac:dyDescent="0.25">
      <c r="A2" t="s">
        <v>227</v>
      </c>
      <c r="B2" t="s">
        <v>163</v>
      </c>
      <c r="C2" t="s">
        <v>164</v>
      </c>
      <c r="D2" t="s">
        <v>125</v>
      </c>
      <c r="E2" t="s">
        <v>228</v>
      </c>
      <c r="F2" t="s">
        <v>4</v>
      </c>
      <c r="G2" t="s">
        <v>126</v>
      </c>
      <c r="H2">
        <f>$L$1*I2</f>
        <v>0.25</v>
      </c>
      <c r="I2">
        <v>1</v>
      </c>
    </row>
    <row r="3" spans="1:12" x14ac:dyDescent="0.25">
      <c r="A3" t="s">
        <v>244</v>
      </c>
      <c r="B3" t="s">
        <v>163</v>
      </c>
      <c r="C3" t="s">
        <v>164</v>
      </c>
      <c r="D3" t="s">
        <v>125</v>
      </c>
      <c r="E3" t="s">
        <v>245</v>
      </c>
      <c r="F3" t="s">
        <v>4</v>
      </c>
      <c r="G3" t="s">
        <v>126</v>
      </c>
      <c r="H3">
        <f t="shared" ref="H3:H14" si="0">$L$1*I3</f>
        <v>0.5</v>
      </c>
      <c r="I3">
        <v>2</v>
      </c>
    </row>
    <row r="4" spans="1:12" x14ac:dyDescent="0.25">
      <c r="A4" s="2" t="s">
        <v>186</v>
      </c>
      <c r="B4" s="2" t="s">
        <v>163</v>
      </c>
      <c r="C4" s="2" t="s">
        <v>164</v>
      </c>
      <c r="D4" s="2" t="s">
        <v>107</v>
      </c>
      <c r="E4" s="2" t="s">
        <v>187</v>
      </c>
      <c r="F4" s="2" t="s">
        <v>132</v>
      </c>
      <c r="G4" s="2" t="s">
        <v>108</v>
      </c>
      <c r="H4">
        <f t="shared" si="0"/>
        <v>0.75</v>
      </c>
      <c r="I4">
        <v>3</v>
      </c>
      <c r="J4" s="2"/>
    </row>
    <row r="5" spans="1:12" x14ac:dyDescent="0.25">
      <c r="A5" t="s">
        <v>254</v>
      </c>
      <c r="B5" t="s">
        <v>163</v>
      </c>
      <c r="C5" t="s">
        <v>164</v>
      </c>
      <c r="D5" t="s">
        <v>53</v>
      </c>
      <c r="E5" t="s">
        <v>255</v>
      </c>
      <c r="F5" t="s">
        <v>4</v>
      </c>
      <c r="G5" t="s">
        <v>55</v>
      </c>
      <c r="H5">
        <f t="shared" si="0"/>
        <v>1</v>
      </c>
      <c r="I5">
        <v>4</v>
      </c>
    </row>
    <row r="6" spans="1:12" x14ac:dyDescent="0.25">
      <c r="A6" t="s">
        <v>184</v>
      </c>
      <c r="B6" t="s">
        <v>163</v>
      </c>
      <c r="C6" t="s">
        <v>164</v>
      </c>
      <c r="D6" t="s">
        <v>114</v>
      </c>
      <c r="E6" t="s">
        <v>185</v>
      </c>
      <c r="F6" t="s">
        <v>7</v>
      </c>
      <c r="G6" t="s">
        <v>116</v>
      </c>
      <c r="H6">
        <f t="shared" si="0"/>
        <v>1.25</v>
      </c>
      <c r="I6">
        <v>5</v>
      </c>
    </row>
    <row r="7" spans="1:12" x14ac:dyDescent="0.25">
      <c r="A7" t="s">
        <v>210</v>
      </c>
      <c r="B7" t="s">
        <v>163</v>
      </c>
      <c r="C7" t="s">
        <v>164</v>
      </c>
      <c r="D7" t="s">
        <v>142</v>
      </c>
      <c r="E7" t="s">
        <v>211</v>
      </c>
      <c r="F7" t="s">
        <v>7</v>
      </c>
      <c r="G7" t="s">
        <v>143</v>
      </c>
      <c r="H7">
        <f t="shared" si="0"/>
        <v>1.5</v>
      </c>
      <c r="I7">
        <v>6</v>
      </c>
    </row>
    <row r="8" spans="1:12" x14ac:dyDescent="0.25">
      <c r="A8" s="2" t="s">
        <v>182</v>
      </c>
      <c r="B8" s="2" t="s">
        <v>163</v>
      </c>
      <c r="C8" s="2" t="s">
        <v>164</v>
      </c>
      <c r="D8" s="2" t="s">
        <v>78</v>
      </c>
      <c r="E8" s="2" t="s">
        <v>183</v>
      </c>
      <c r="F8" s="2" t="s">
        <v>132</v>
      </c>
      <c r="G8" s="2" t="s">
        <v>79</v>
      </c>
      <c r="H8">
        <f t="shared" si="0"/>
        <v>1.75</v>
      </c>
      <c r="I8">
        <v>7</v>
      </c>
      <c r="J8" s="2"/>
    </row>
    <row r="9" spans="1:12" x14ac:dyDescent="0.25">
      <c r="A9" s="2" t="s">
        <v>162</v>
      </c>
      <c r="B9" s="2" t="s">
        <v>163</v>
      </c>
      <c r="C9" s="2" t="s">
        <v>164</v>
      </c>
      <c r="D9" s="2" t="s">
        <v>85</v>
      </c>
      <c r="E9" s="2" t="s">
        <v>165</v>
      </c>
      <c r="F9" s="2" t="s">
        <v>141</v>
      </c>
      <c r="G9" s="2" t="s">
        <v>87</v>
      </c>
      <c r="H9">
        <f t="shared" si="0"/>
        <v>2</v>
      </c>
      <c r="I9">
        <v>8</v>
      </c>
      <c r="J9" s="2"/>
    </row>
    <row r="10" spans="1:12" x14ac:dyDescent="0.25">
      <c r="A10" t="s">
        <v>194</v>
      </c>
      <c r="B10" t="s">
        <v>163</v>
      </c>
      <c r="C10" t="s">
        <v>164</v>
      </c>
      <c r="D10" t="s">
        <v>75</v>
      </c>
      <c r="E10" t="s">
        <v>195</v>
      </c>
      <c r="F10" t="s">
        <v>7</v>
      </c>
      <c r="G10" t="s">
        <v>77</v>
      </c>
      <c r="H10">
        <f t="shared" si="0"/>
        <v>2.25</v>
      </c>
      <c r="I10">
        <v>9</v>
      </c>
    </row>
    <row r="11" spans="1:12" x14ac:dyDescent="0.25">
      <c r="A11" t="s">
        <v>180</v>
      </c>
      <c r="B11" t="s">
        <v>163</v>
      </c>
      <c r="C11" t="s">
        <v>164</v>
      </c>
      <c r="D11" t="s">
        <v>109</v>
      </c>
      <c r="E11" t="s">
        <v>181</v>
      </c>
      <c r="F11" t="s">
        <v>132</v>
      </c>
      <c r="G11" t="s">
        <v>110</v>
      </c>
      <c r="H11">
        <f t="shared" si="0"/>
        <v>2.5</v>
      </c>
      <c r="I11">
        <v>10</v>
      </c>
    </row>
    <row r="12" spans="1:12" x14ac:dyDescent="0.25">
      <c r="A12" s="2" t="s">
        <v>246</v>
      </c>
      <c r="B12" s="2" t="s">
        <v>163</v>
      </c>
      <c r="C12" s="2" t="s">
        <v>164</v>
      </c>
      <c r="D12" s="2" t="s">
        <v>125</v>
      </c>
      <c r="E12" s="2" t="s">
        <v>247</v>
      </c>
      <c r="F12" s="2" t="s">
        <v>4</v>
      </c>
      <c r="G12" s="2" t="s">
        <v>126</v>
      </c>
      <c r="H12">
        <f t="shared" si="0"/>
        <v>2.75</v>
      </c>
      <c r="I12">
        <v>11</v>
      </c>
      <c r="J12" s="2"/>
    </row>
    <row r="13" spans="1:12" x14ac:dyDescent="0.25">
      <c r="A13" s="2" t="s">
        <v>225</v>
      </c>
      <c r="B13" s="2" t="s">
        <v>163</v>
      </c>
      <c r="C13" s="2" t="s">
        <v>164</v>
      </c>
      <c r="D13" s="2" t="s">
        <v>75</v>
      </c>
      <c r="E13" s="2" t="s">
        <v>226</v>
      </c>
      <c r="F13" s="2" t="s">
        <v>4</v>
      </c>
      <c r="G13" s="2" t="s">
        <v>77</v>
      </c>
      <c r="H13">
        <f t="shared" si="0"/>
        <v>3</v>
      </c>
      <c r="I13">
        <v>12</v>
      </c>
      <c r="J13" s="2"/>
    </row>
    <row r="14" spans="1:12" x14ac:dyDescent="0.25">
      <c r="A14" t="s">
        <v>223</v>
      </c>
      <c r="B14" t="s">
        <v>163</v>
      </c>
      <c r="C14" t="s">
        <v>164</v>
      </c>
      <c r="D14" t="s">
        <v>75</v>
      </c>
      <c r="E14" t="s">
        <v>224</v>
      </c>
      <c r="F14" t="s">
        <v>4</v>
      </c>
      <c r="G14" t="s">
        <v>77</v>
      </c>
      <c r="H14">
        <f t="shared" si="0"/>
        <v>3.25</v>
      </c>
      <c r="I14">
        <v>13</v>
      </c>
    </row>
  </sheetData>
  <autoFilter ref="A1:J14" xr:uid="{F3385E06-6F2E-4CE0-B282-A330B004ECFC}">
    <sortState xmlns:xlrd2="http://schemas.microsoft.com/office/spreadsheetml/2017/richdata2" ref="A2:J14">
      <sortCondition ref="E1:E50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9A283-EE5C-45F2-8C50-03BCAA7D0F2D}">
  <dimension ref="A1:L12"/>
  <sheetViews>
    <sheetView workbookViewId="0">
      <selection activeCell="A2" sqref="A2:I12"/>
    </sheetView>
  </sheetViews>
  <sheetFormatPr defaultRowHeight="15" x14ac:dyDescent="0.25"/>
  <cols>
    <col min="1" max="1" width="19.140625" bestFit="1" customWidth="1"/>
    <col min="2" max="2" width="15.28515625" bestFit="1" customWidth="1"/>
    <col min="3" max="3" width="24.85546875" bestFit="1" customWidth="1"/>
    <col min="4" max="4" width="14.42578125" bestFit="1" customWidth="1"/>
    <col min="5" max="5" width="10.85546875" bestFit="1" customWidth="1"/>
    <col min="6" max="6" width="13.85546875" bestFit="1" customWidth="1"/>
    <col min="7" max="7" width="25.140625" bestFit="1" customWidth="1"/>
    <col min="8" max="8" width="5" bestFit="1" customWidth="1"/>
    <col min="9" max="9" width="11.7109375" bestFit="1" customWidth="1"/>
    <col min="10" max="10" width="4.42578125" bestFit="1" customWidth="1"/>
  </cols>
  <sheetData>
    <row r="1" spans="1:12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260</v>
      </c>
      <c r="I1" s="1" t="s">
        <v>265</v>
      </c>
      <c r="J1" s="1" t="s">
        <v>261</v>
      </c>
      <c r="L1">
        <v>0.28000000000000003</v>
      </c>
    </row>
    <row r="2" spans="1:12" x14ac:dyDescent="0.25">
      <c r="A2" t="s">
        <v>252</v>
      </c>
      <c r="B2" t="s">
        <v>171</v>
      </c>
      <c r="C2" t="s">
        <v>172</v>
      </c>
      <c r="D2" t="s">
        <v>85</v>
      </c>
      <c r="E2" t="s">
        <v>253</v>
      </c>
      <c r="F2" t="s">
        <v>4</v>
      </c>
      <c r="G2" t="s">
        <v>87</v>
      </c>
      <c r="H2">
        <f>$L$1*I2</f>
        <v>0.28000000000000003</v>
      </c>
      <c r="I2">
        <v>1</v>
      </c>
    </row>
    <row r="3" spans="1:12" x14ac:dyDescent="0.25">
      <c r="A3" t="s">
        <v>188</v>
      </c>
      <c r="B3" t="s">
        <v>189</v>
      </c>
      <c r="C3" t="s">
        <v>172</v>
      </c>
      <c r="D3" t="s">
        <v>107</v>
      </c>
      <c r="E3" t="s">
        <v>190</v>
      </c>
      <c r="F3" t="s">
        <v>7</v>
      </c>
      <c r="G3" t="s">
        <v>108</v>
      </c>
      <c r="H3">
        <f t="shared" ref="H3:H12" si="0">$L$1*I3</f>
        <v>0.56000000000000005</v>
      </c>
      <c r="I3">
        <v>2</v>
      </c>
    </row>
    <row r="4" spans="1:12" x14ac:dyDescent="0.25">
      <c r="A4" t="s">
        <v>207</v>
      </c>
      <c r="B4" t="s">
        <v>208</v>
      </c>
      <c r="C4" t="s">
        <v>172</v>
      </c>
      <c r="D4" t="s">
        <v>144</v>
      </c>
      <c r="E4" t="s">
        <v>209</v>
      </c>
      <c r="F4" t="s">
        <v>132</v>
      </c>
      <c r="G4" t="s">
        <v>145</v>
      </c>
      <c r="H4">
        <f t="shared" si="0"/>
        <v>0.84000000000000008</v>
      </c>
      <c r="I4">
        <v>3</v>
      </c>
    </row>
    <row r="5" spans="1:12" x14ac:dyDescent="0.25">
      <c r="A5" t="s">
        <v>219</v>
      </c>
      <c r="B5" t="s">
        <v>189</v>
      </c>
      <c r="C5" t="s">
        <v>172</v>
      </c>
      <c r="D5" t="s">
        <v>63</v>
      </c>
      <c r="E5" t="s">
        <v>220</v>
      </c>
      <c r="F5" t="s">
        <v>4</v>
      </c>
      <c r="G5" t="s">
        <v>65</v>
      </c>
      <c r="H5">
        <f t="shared" si="0"/>
        <v>1.1200000000000001</v>
      </c>
      <c r="I5">
        <v>4</v>
      </c>
    </row>
    <row r="6" spans="1:12" x14ac:dyDescent="0.25">
      <c r="A6" s="2" t="s">
        <v>232</v>
      </c>
      <c r="B6" s="2" t="s">
        <v>208</v>
      </c>
      <c r="C6" s="2" t="s">
        <v>172</v>
      </c>
      <c r="D6" s="2" t="s">
        <v>53</v>
      </c>
      <c r="E6" s="2" t="s">
        <v>233</v>
      </c>
      <c r="F6" s="2" t="s">
        <v>4</v>
      </c>
      <c r="G6" s="2" t="s">
        <v>55</v>
      </c>
      <c r="H6">
        <f t="shared" si="0"/>
        <v>1.4000000000000001</v>
      </c>
      <c r="I6">
        <v>5</v>
      </c>
      <c r="J6" s="2"/>
    </row>
    <row r="7" spans="1:12" x14ac:dyDescent="0.25">
      <c r="A7" s="2" t="s">
        <v>242</v>
      </c>
      <c r="B7" s="2" t="s">
        <v>208</v>
      </c>
      <c r="C7" s="2" t="s">
        <v>172</v>
      </c>
      <c r="D7" s="2" t="s">
        <v>75</v>
      </c>
      <c r="E7" s="2" t="s">
        <v>243</v>
      </c>
      <c r="F7" s="2" t="s">
        <v>4</v>
      </c>
      <c r="G7" s="2" t="s">
        <v>77</v>
      </c>
      <c r="H7">
        <f t="shared" si="0"/>
        <v>1.6800000000000002</v>
      </c>
      <c r="I7">
        <v>6</v>
      </c>
      <c r="J7" s="2"/>
    </row>
    <row r="8" spans="1:12" x14ac:dyDescent="0.25">
      <c r="A8" s="2" t="s">
        <v>170</v>
      </c>
      <c r="B8" s="2" t="s">
        <v>171</v>
      </c>
      <c r="C8" s="2" t="s">
        <v>172</v>
      </c>
      <c r="D8" s="2" t="s">
        <v>72</v>
      </c>
      <c r="E8" s="2" t="s">
        <v>173</v>
      </c>
      <c r="F8" s="2" t="s">
        <v>132</v>
      </c>
      <c r="G8" s="2" t="s">
        <v>73</v>
      </c>
      <c r="H8">
        <f t="shared" si="0"/>
        <v>1.9600000000000002</v>
      </c>
      <c r="I8">
        <v>7</v>
      </c>
      <c r="J8" s="2"/>
    </row>
    <row r="9" spans="1:12" x14ac:dyDescent="0.25">
      <c r="A9" s="2" t="s">
        <v>248</v>
      </c>
      <c r="B9" s="2" t="s">
        <v>189</v>
      </c>
      <c r="C9" s="2" t="s">
        <v>172</v>
      </c>
      <c r="D9" s="2" t="s">
        <v>81</v>
      </c>
      <c r="E9" s="2" t="s">
        <v>249</v>
      </c>
      <c r="F9" s="2" t="s">
        <v>4</v>
      </c>
      <c r="G9" s="2" t="s">
        <v>83</v>
      </c>
      <c r="H9">
        <f t="shared" si="0"/>
        <v>2.2400000000000002</v>
      </c>
      <c r="I9">
        <v>8</v>
      </c>
      <c r="J9" s="2"/>
    </row>
    <row r="10" spans="1:12" x14ac:dyDescent="0.25">
      <c r="A10" s="2" t="s">
        <v>234</v>
      </c>
      <c r="B10" s="2" t="s">
        <v>189</v>
      </c>
      <c r="C10" s="2" t="s">
        <v>172</v>
      </c>
      <c r="D10" s="2" t="s">
        <v>63</v>
      </c>
      <c r="E10" s="2" t="s">
        <v>235</v>
      </c>
      <c r="F10" s="2" t="s">
        <v>4</v>
      </c>
      <c r="G10" s="2" t="s">
        <v>65</v>
      </c>
      <c r="H10">
        <f t="shared" si="0"/>
        <v>2.5200000000000005</v>
      </c>
      <c r="I10">
        <v>9</v>
      </c>
      <c r="J10" s="2"/>
    </row>
    <row r="11" spans="1:12" x14ac:dyDescent="0.25">
      <c r="A11" s="2" t="s">
        <v>258</v>
      </c>
      <c r="B11" s="2" t="s">
        <v>208</v>
      </c>
      <c r="C11" s="2" t="s">
        <v>172</v>
      </c>
      <c r="D11" s="2" t="s">
        <v>125</v>
      </c>
      <c r="E11" s="2" t="s">
        <v>259</v>
      </c>
      <c r="F11" s="2" t="s">
        <v>4</v>
      </c>
      <c r="G11" s="2" t="s">
        <v>126</v>
      </c>
      <c r="H11">
        <f t="shared" si="0"/>
        <v>2.8000000000000003</v>
      </c>
      <c r="I11">
        <v>10</v>
      </c>
      <c r="J11" s="2"/>
    </row>
    <row r="12" spans="1:12" x14ac:dyDescent="0.25">
      <c r="A12" t="s">
        <v>178</v>
      </c>
      <c r="B12" t="s">
        <v>171</v>
      </c>
      <c r="C12" t="s">
        <v>172</v>
      </c>
      <c r="D12" t="s">
        <v>98</v>
      </c>
      <c r="E12" t="s">
        <v>179</v>
      </c>
      <c r="F12" t="s">
        <v>7</v>
      </c>
      <c r="G12" t="s">
        <v>100</v>
      </c>
      <c r="H12">
        <f t="shared" si="0"/>
        <v>3.08</v>
      </c>
      <c r="I12">
        <v>11</v>
      </c>
    </row>
  </sheetData>
  <autoFilter ref="A1:J12" xr:uid="{05E9A283-EE5C-45F2-8C50-03BCAA7D0F2D}">
    <sortState xmlns:xlrd2="http://schemas.microsoft.com/office/spreadsheetml/2017/richdata2" ref="A2:J12">
      <sortCondition ref="E1:E47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3CD-7125-4036-ABD1-D4173FDD1C28}">
  <dimension ref="A1:L10"/>
  <sheetViews>
    <sheetView workbookViewId="0">
      <selection activeCell="A2" sqref="A2:I10"/>
    </sheetView>
  </sheetViews>
  <sheetFormatPr defaultRowHeight="15" x14ac:dyDescent="0.25"/>
  <cols>
    <col min="1" max="1" width="13.85546875" bestFit="1" customWidth="1"/>
    <col min="2" max="2" width="14.5703125" bestFit="1" customWidth="1"/>
    <col min="3" max="3" width="27.140625" bestFit="1" customWidth="1"/>
    <col min="4" max="4" width="16.7109375" bestFit="1" customWidth="1"/>
    <col min="5" max="5" width="13.140625" bestFit="1" customWidth="1"/>
    <col min="6" max="6" width="16.140625" bestFit="1" customWidth="1"/>
    <col min="7" max="7" width="25.140625" bestFit="1" customWidth="1"/>
    <col min="8" max="8" width="6" bestFit="1" customWidth="1"/>
    <col min="9" max="9" width="12.28515625" bestFit="1" customWidth="1"/>
    <col min="10" max="10" width="4.42578125" bestFit="1" customWidth="1"/>
  </cols>
  <sheetData>
    <row r="1" spans="1:12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260</v>
      </c>
      <c r="I1" s="1" t="s">
        <v>264</v>
      </c>
      <c r="J1" s="1" t="s">
        <v>261</v>
      </c>
      <c r="L1">
        <v>0.32500000000000001</v>
      </c>
    </row>
    <row r="2" spans="1:12" x14ac:dyDescent="0.25">
      <c r="A2" s="2" t="s">
        <v>166</v>
      </c>
      <c r="B2" s="2" t="s">
        <v>146</v>
      </c>
      <c r="C2" s="2" t="s">
        <v>147</v>
      </c>
      <c r="D2" s="2" t="s">
        <v>72</v>
      </c>
      <c r="E2" s="2" t="s">
        <v>167</v>
      </c>
      <c r="F2" s="2" t="s">
        <v>19</v>
      </c>
      <c r="G2" s="2" t="s">
        <v>73</v>
      </c>
      <c r="H2" s="2">
        <f>$L$1*I2</f>
        <v>0.32500000000000001</v>
      </c>
      <c r="I2" s="2">
        <v>1</v>
      </c>
      <c r="J2" s="2"/>
    </row>
    <row r="3" spans="1:12" x14ac:dyDescent="0.25">
      <c r="A3" s="2" t="s">
        <v>240</v>
      </c>
      <c r="B3" s="2" t="s">
        <v>146</v>
      </c>
      <c r="C3" s="2" t="s">
        <v>147</v>
      </c>
      <c r="D3" s="2" t="s">
        <v>98</v>
      </c>
      <c r="E3" s="2" t="s">
        <v>241</v>
      </c>
      <c r="F3" s="2" t="s">
        <v>4</v>
      </c>
      <c r="G3" s="2" t="s">
        <v>100</v>
      </c>
      <c r="H3" s="2">
        <f t="shared" ref="H3:H10" si="0">$L$1*I3</f>
        <v>0.65</v>
      </c>
      <c r="I3" s="2">
        <v>2</v>
      </c>
      <c r="J3" s="2"/>
    </row>
    <row r="4" spans="1:12" x14ac:dyDescent="0.25">
      <c r="A4" t="s">
        <v>25</v>
      </c>
      <c r="B4" t="s">
        <v>146</v>
      </c>
      <c r="C4" t="s">
        <v>147</v>
      </c>
      <c r="D4" t="s">
        <v>60</v>
      </c>
      <c r="E4" t="s">
        <v>148</v>
      </c>
      <c r="F4" t="s">
        <v>141</v>
      </c>
      <c r="G4" t="s">
        <v>61</v>
      </c>
      <c r="H4" s="2">
        <f t="shared" si="0"/>
        <v>0.97500000000000009</v>
      </c>
      <c r="I4">
        <v>3</v>
      </c>
    </row>
    <row r="5" spans="1:12" x14ac:dyDescent="0.25">
      <c r="A5" t="s">
        <v>160</v>
      </c>
      <c r="B5" t="s">
        <v>146</v>
      </c>
      <c r="C5" t="s">
        <v>147</v>
      </c>
      <c r="D5" t="s">
        <v>89</v>
      </c>
      <c r="E5" t="s">
        <v>161</v>
      </c>
      <c r="F5" t="s">
        <v>141</v>
      </c>
      <c r="G5" t="s">
        <v>90</v>
      </c>
      <c r="H5" s="2">
        <f t="shared" si="0"/>
        <v>1.3</v>
      </c>
      <c r="I5">
        <v>4</v>
      </c>
    </row>
    <row r="6" spans="1:12" x14ac:dyDescent="0.25">
      <c r="A6" s="2" t="s">
        <v>176</v>
      </c>
      <c r="B6" s="2" t="s">
        <v>146</v>
      </c>
      <c r="C6" s="2" t="s">
        <v>147</v>
      </c>
      <c r="D6" s="2" t="s">
        <v>107</v>
      </c>
      <c r="E6" s="2" t="s">
        <v>177</v>
      </c>
      <c r="F6" s="2" t="s">
        <v>7</v>
      </c>
      <c r="G6" s="2" t="s">
        <v>108</v>
      </c>
      <c r="H6" s="2">
        <f t="shared" si="0"/>
        <v>1.625</v>
      </c>
      <c r="I6" s="2">
        <v>5</v>
      </c>
      <c r="J6" s="2"/>
    </row>
    <row r="7" spans="1:12" x14ac:dyDescent="0.25">
      <c r="A7" s="2" t="s">
        <v>203</v>
      </c>
      <c r="B7" s="2" t="s">
        <v>146</v>
      </c>
      <c r="C7" s="2" t="s">
        <v>147</v>
      </c>
      <c r="D7" s="2" t="s">
        <v>125</v>
      </c>
      <c r="E7" s="2" t="s">
        <v>204</v>
      </c>
      <c r="F7" s="2" t="s">
        <v>7</v>
      </c>
      <c r="G7" s="2" t="s">
        <v>126</v>
      </c>
      <c r="H7" s="2">
        <f t="shared" si="0"/>
        <v>1.9500000000000002</v>
      </c>
      <c r="I7" s="2">
        <v>6</v>
      </c>
      <c r="J7" s="2"/>
    </row>
    <row r="8" spans="1:12" x14ac:dyDescent="0.25">
      <c r="A8" s="2" t="s">
        <v>201</v>
      </c>
      <c r="B8" s="2" t="s">
        <v>146</v>
      </c>
      <c r="C8" s="2" t="s">
        <v>147</v>
      </c>
      <c r="D8" s="2" t="s">
        <v>47</v>
      </c>
      <c r="E8" s="2" t="s">
        <v>202</v>
      </c>
      <c r="F8" s="2" t="s">
        <v>132</v>
      </c>
      <c r="G8" s="2" t="s">
        <v>49</v>
      </c>
      <c r="H8" s="2">
        <f t="shared" si="0"/>
        <v>2.2749999999999999</v>
      </c>
      <c r="I8">
        <v>7</v>
      </c>
      <c r="J8" s="2"/>
    </row>
    <row r="9" spans="1:12" x14ac:dyDescent="0.25">
      <c r="A9" t="s">
        <v>174</v>
      </c>
      <c r="B9" t="s">
        <v>146</v>
      </c>
      <c r="C9" t="s">
        <v>147</v>
      </c>
      <c r="D9" t="s">
        <v>72</v>
      </c>
      <c r="E9" t="s">
        <v>175</v>
      </c>
      <c r="F9" t="s">
        <v>7</v>
      </c>
      <c r="G9" t="s">
        <v>73</v>
      </c>
      <c r="H9" s="2">
        <f t="shared" si="0"/>
        <v>2.6</v>
      </c>
      <c r="I9">
        <v>8</v>
      </c>
    </row>
    <row r="10" spans="1:12" x14ac:dyDescent="0.25">
      <c r="A10" t="s">
        <v>158</v>
      </c>
      <c r="B10" t="s">
        <v>146</v>
      </c>
      <c r="C10" t="s">
        <v>147</v>
      </c>
      <c r="D10" t="s">
        <v>78</v>
      </c>
      <c r="E10" t="s">
        <v>159</v>
      </c>
      <c r="F10" t="s">
        <v>141</v>
      </c>
      <c r="G10" t="s">
        <v>79</v>
      </c>
      <c r="H10" s="2">
        <f t="shared" si="0"/>
        <v>2.9250000000000003</v>
      </c>
      <c r="I10" s="2">
        <v>9</v>
      </c>
    </row>
  </sheetData>
  <autoFilter ref="A1:J10" xr:uid="{3377F3CD-7125-4036-ABD1-D4173FDD1C2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sankey</vt:lpstr>
      <vt:lpstr>deneb_arc</vt:lpstr>
      <vt:lpstr>line_chart_sankey</vt:lpstr>
      <vt:lpstr>AFC</vt:lpstr>
      <vt:lpstr>UEFA</vt:lpstr>
      <vt:lpstr>OFC</vt:lpstr>
      <vt:lpstr>CAF</vt:lpstr>
      <vt:lpstr>CONCACAF</vt:lpstr>
      <vt:lpstr>CONMEBOL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Marselius Agus Dhion</dc:creator>
  <cp:lastModifiedBy>Marselius Agus Dhion</cp:lastModifiedBy>
  <dcterms:created xsi:type="dcterms:W3CDTF">2015-06-05T18:17:20Z</dcterms:created>
  <dcterms:modified xsi:type="dcterms:W3CDTF">2026-01-23T08:34:16Z</dcterms:modified>
</cp:coreProperties>
</file>