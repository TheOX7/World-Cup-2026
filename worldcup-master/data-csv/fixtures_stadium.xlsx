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hub\World-Cup-2026-\worldcup-master\data-csv\"/>
    </mc:Choice>
  </mc:AlternateContent>
  <xr:revisionPtr revIDLastSave="0" documentId="13_ncr:1_{620D8CC9-EBED-411D-A210-6B140605FD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1" l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<sst xmlns="http://schemas.openxmlformats.org/spreadsheetml/2006/main" count="1059" uniqueCount="433">
  <si>
    <t>stadium_id</t>
  </si>
  <si>
    <t>key_id</t>
  </si>
  <si>
    <t>stadium_name</t>
  </si>
  <si>
    <t>home_team</t>
  </si>
  <si>
    <t>away_team</t>
  </si>
  <si>
    <t>date</t>
  </si>
  <si>
    <t>group</t>
  </si>
  <si>
    <t>phase</t>
  </si>
  <si>
    <t>city_name</t>
  </si>
  <si>
    <t>country_name</t>
  </si>
  <si>
    <t>Argentina</t>
  </si>
  <si>
    <t>Brazil</t>
  </si>
  <si>
    <t>Canada</t>
  </si>
  <si>
    <t>BC Place</t>
  </si>
  <si>
    <t>Vancouver</t>
  </si>
  <si>
    <t>Chile</t>
  </si>
  <si>
    <t>China</t>
  </si>
  <si>
    <t>England</t>
  </si>
  <si>
    <t>France</t>
  </si>
  <si>
    <t>Germany</t>
  </si>
  <si>
    <t>Italy</t>
  </si>
  <si>
    <t>Japan</t>
  </si>
  <si>
    <t>Guadalajara</t>
  </si>
  <si>
    <t>Mexico</t>
  </si>
  <si>
    <t>Estadio Azteca</t>
  </si>
  <si>
    <t>Mexico City</t>
  </si>
  <si>
    <t>Monterrey</t>
  </si>
  <si>
    <t>Qatar</t>
  </si>
  <si>
    <t>Russia</t>
  </si>
  <si>
    <t>South Africa</t>
  </si>
  <si>
    <t>South Korea</t>
  </si>
  <si>
    <t>Spain</t>
  </si>
  <si>
    <t>Sweden</t>
  </si>
  <si>
    <t>Switzerland</t>
  </si>
  <si>
    <t>Boston</t>
  </si>
  <si>
    <t>United States</t>
  </si>
  <si>
    <t>Dallas</t>
  </si>
  <si>
    <t>East Rutherford</t>
  </si>
  <si>
    <t>Foxborough</t>
  </si>
  <si>
    <t>Gillette Stadium</t>
  </si>
  <si>
    <t>Los Angeles</t>
  </si>
  <si>
    <t>Lincoln Financial Field</t>
  </si>
  <si>
    <t>Philadelphia</t>
  </si>
  <si>
    <t>Uruguay</t>
  </si>
  <si>
    <t>S-241</t>
  </si>
  <si>
    <t>AT&amp;T Stadium</t>
  </si>
  <si>
    <t>Arlington</t>
  </si>
  <si>
    <t>S-242</t>
  </si>
  <si>
    <t>NRG Stadium</t>
  </si>
  <si>
    <t>Houston</t>
  </si>
  <si>
    <t>S-243</t>
  </si>
  <si>
    <t>SoFi Stadium</t>
  </si>
  <si>
    <t>Inglewood</t>
  </si>
  <si>
    <t>S-244</t>
  </si>
  <si>
    <t>MetLife Stadium</t>
  </si>
  <si>
    <t>S-245</t>
  </si>
  <si>
    <t>Mercedes-Benz Stadium</t>
  </si>
  <si>
    <t>Atlanta</t>
  </si>
  <si>
    <t>S-246</t>
  </si>
  <si>
    <t>S-247</t>
  </si>
  <si>
    <t>Lumen Field</t>
  </si>
  <si>
    <t>Seattle</t>
  </si>
  <si>
    <t>S-248</t>
  </si>
  <si>
    <t>Santa Clara</t>
  </si>
  <si>
    <t>S-249</t>
  </si>
  <si>
    <t>S-250</t>
  </si>
  <si>
    <t>Arrowhead Stadium</t>
  </si>
  <si>
    <t>Kansas City</t>
  </si>
  <si>
    <t>S-251</t>
  </si>
  <si>
    <t>Hard Rock Stadium</t>
  </si>
  <si>
    <t>Miami Gardens</t>
  </si>
  <si>
    <t>S-252</t>
  </si>
  <si>
    <t>S-253</t>
  </si>
  <si>
    <t>BMO Field</t>
  </si>
  <si>
    <t>Toronto</t>
  </si>
  <si>
    <t>S-254</t>
  </si>
  <si>
    <t>S-255</t>
  </si>
  <si>
    <t>Estadio Akron</t>
  </si>
  <si>
    <t>S-256</t>
  </si>
  <si>
    <t>Estadio BBVA</t>
  </si>
  <si>
    <t>A</t>
  </si>
  <si>
    <t>Group Stage</t>
  </si>
  <si>
    <t>TBC</t>
  </si>
  <si>
    <t>USA</t>
  </si>
  <si>
    <t>Paraguay</t>
  </si>
  <si>
    <t>B</t>
  </si>
  <si>
    <t>D</t>
  </si>
  <si>
    <t>Haiti</t>
  </si>
  <si>
    <t>Scotland</t>
  </si>
  <si>
    <t>Australia</t>
  </si>
  <si>
    <t>BC Place Vancouver</t>
  </si>
  <si>
    <t>C</t>
  </si>
  <si>
    <t>Morocco</t>
  </si>
  <si>
    <t>Ecuador</t>
  </si>
  <si>
    <t>Netherlands</t>
  </si>
  <si>
    <t>Tunisia</t>
  </si>
  <si>
    <t>E</t>
  </si>
  <si>
    <t>F</t>
  </si>
  <si>
    <t>Cape Verde</t>
  </si>
  <si>
    <t>Iran</t>
  </si>
  <si>
    <t>New Zealand</t>
  </si>
  <si>
    <t>Belgium</t>
  </si>
  <si>
    <t>Egypt</t>
  </si>
  <si>
    <t>H</t>
  </si>
  <si>
    <t>G</t>
  </si>
  <si>
    <t>Senegal</t>
  </si>
  <si>
    <t>Norway</t>
  </si>
  <si>
    <t>Algeria</t>
  </si>
  <si>
    <t>Austria</t>
  </si>
  <si>
    <t>Jordan</t>
  </si>
  <si>
    <t>I</t>
  </si>
  <si>
    <t>J</t>
  </si>
  <si>
    <t>Ghana</t>
  </si>
  <si>
    <t>Panama</t>
  </si>
  <si>
    <t>Croatia</t>
  </si>
  <si>
    <t>Portugal</t>
  </si>
  <si>
    <t>Uzbekistan</t>
  </si>
  <si>
    <t>Colombia</t>
  </si>
  <si>
    <t>L</t>
  </si>
  <si>
    <t>K</t>
  </si>
  <si>
    <t>Saudi Arabia</t>
  </si>
  <si>
    <t>team_id</t>
  </si>
  <si>
    <t>team_name</t>
  </si>
  <si>
    <t>team_code</t>
  </si>
  <si>
    <t>T-01</t>
  </si>
  <si>
    <t>DZA</t>
  </si>
  <si>
    <t>T-02</t>
  </si>
  <si>
    <t>Angola</t>
  </si>
  <si>
    <t>AGO</t>
  </si>
  <si>
    <t>T-03</t>
  </si>
  <si>
    <t>ARG</t>
  </si>
  <si>
    <t>T-04</t>
  </si>
  <si>
    <t>AUS</t>
  </si>
  <si>
    <t>T-05</t>
  </si>
  <si>
    <t>AUT</t>
  </si>
  <si>
    <t>T-06</t>
  </si>
  <si>
    <t>BEL</t>
  </si>
  <si>
    <t>T-07</t>
  </si>
  <si>
    <t>Bolivia</t>
  </si>
  <si>
    <t>BOL</t>
  </si>
  <si>
    <t>T-08</t>
  </si>
  <si>
    <t>Bosnia and Herzegovina</t>
  </si>
  <si>
    <t>BIH</t>
  </si>
  <si>
    <t>T-09</t>
  </si>
  <si>
    <t>BRA</t>
  </si>
  <si>
    <t>T-10</t>
  </si>
  <si>
    <t>Bulgaria</t>
  </si>
  <si>
    <t>BGR</t>
  </si>
  <si>
    <t>T-11</t>
  </si>
  <si>
    <t>Cameroon</t>
  </si>
  <si>
    <t>CMR</t>
  </si>
  <si>
    <t>T-12</t>
  </si>
  <si>
    <t>CAN</t>
  </si>
  <si>
    <t>T-13</t>
  </si>
  <si>
    <t>CHL</t>
  </si>
  <si>
    <t>T-14</t>
  </si>
  <si>
    <t>CHN</t>
  </si>
  <si>
    <t>T-15</t>
  </si>
  <si>
    <t>Chinese Taipei</t>
  </si>
  <si>
    <t>TWN</t>
  </si>
  <si>
    <t>T-16</t>
  </si>
  <si>
    <t>COL</t>
  </si>
  <si>
    <t>T-17</t>
  </si>
  <si>
    <t>Costa Rica</t>
  </si>
  <si>
    <t>CRI</t>
  </si>
  <si>
    <t>T-18</t>
  </si>
  <si>
    <t>HRV</t>
  </si>
  <si>
    <t>T-19</t>
  </si>
  <si>
    <t>Cuba</t>
  </si>
  <si>
    <t>CUB</t>
  </si>
  <si>
    <t>T-20</t>
  </si>
  <si>
    <t>Czech Republic</t>
  </si>
  <si>
    <t>CZE</t>
  </si>
  <si>
    <t>T-21</t>
  </si>
  <si>
    <t>Czechoslovakia</t>
  </si>
  <si>
    <t>CSK</t>
  </si>
  <si>
    <t>T-22</t>
  </si>
  <si>
    <t>Denmark</t>
  </si>
  <si>
    <t>DNK</t>
  </si>
  <si>
    <t>T-23</t>
  </si>
  <si>
    <t>Dutch East Indies</t>
  </si>
  <si>
    <t>IDN</t>
  </si>
  <si>
    <t>T-24</t>
  </si>
  <si>
    <t>East Germany</t>
  </si>
  <si>
    <t>DDR</t>
  </si>
  <si>
    <t>T-25</t>
  </si>
  <si>
    <t>ECU</t>
  </si>
  <si>
    <t>T-26</t>
  </si>
  <si>
    <t>EGY</t>
  </si>
  <si>
    <t>T-27</t>
  </si>
  <si>
    <t>El Salvador</t>
  </si>
  <si>
    <t>SLV</t>
  </si>
  <si>
    <t>T-28</t>
  </si>
  <si>
    <t>ENG</t>
  </si>
  <si>
    <t>T-29</t>
  </si>
  <si>
    <t>Equatorial Guinea</t>
  </si>
  <si>
    <t>GNQ</t>
  </si>
  <si>
    <t>T-30</t>
  </si>
  <si>
    <t>FRA</t>
  </si>
  <si>
    <t>T-31</t>
  </si>
  <si>
    <t>DEU</t>
  </si>
  <si>
    <t>T-32</t>
  </si>
  <si>
    <t>GHA</t>
  </si>
  <si>
    <t>T-33</t>
  </si>
  <si>
    <t>Greece</t>
  </si>
  <si>
    <t>GRC</t>
  </si>
  <si>
    <t>T-34</t>
  </si>
  <si>
    <t>HTI</t>
  </si>
  <si>
    <t>T-35</t>
  </si>
  <si>
    <t>Honduras</t>
  </si>
  <si>
    <t>HND</t>
  </si>
  <si>
    <t>T-36</t>
  </si>
  <si>
    <t>Hungary</t>
  </si>
  <si>
    <t>HUN</t>
  </si>
  <si>
    <t>T-37</t>
  </si>
  <si>
    <t>Iceland</t>
  </si>
  <si>
    <t>ISL</t>
  </si>
  <si>
    <t>T-38</t>
  </si>
  <si>
    <t>IRN</t>
  </si>
  <si>
    <t>T-39</t>
  </si>
  <si>
    <t>Iraq</t>
  </si>
  <si>
    <t>IRQ</t>
  </si>
  <si>
    <t>T-40</t>
  </si>
  <si>
    <t>Israel</t>
  </si>
  <si>
    <t>ISR</t>
  </si>
  <si>
    <t>T-41</t>
  </si>
  <si>
    <t>ITA</t>
  </si>
  <si>
    <t>T-42</t>
  </si>
  <si>
    <t>Ivory Coast</t>
  </si>
  <si>
    <t>CIV</t>
  </si>
  <si>
    <t>T-43</t>
  </si>
  <si>
    <t>Jamaica</t>
  </si>
  <si>
    <t>JAM</t>
  </si>
  <si>
    <t>T-44</t>
  </si>
  <si>
    <t>JPN</t>
  </si>
  <si>
    <t>T-45</t>
  </si>
  <si>
    <t>Kuwait</t>
  </si>
  <si>
    <t>KWT</t>
  </si>
  <si>
    <t>T-46</t>
  </si>
  <si>
    <t>MEX</t>
  </si>
  <si>
    <t>T-47</t>
  </si>
  <si>
    <t>MAR</t>
  </si>
  <si>
    <t>T-48</t>
  </si>
  <si>
    <t>NLD</t>
  </si>
  <si>
    <t>T-49</t>
  </si>
  <si>
    <t>NZL</t>
  </si>
  <si>
    <t>T-50</t>
  </si>
  <si>
    <t>Nigeria</t>
  </si>
  <si>
    <t>NGA</t>
  </si>
  <si>
    <t>T-51</t>
  </si>
  <si>
    <t>North Korea</t>
  </si>
  <si>
    <t>PRK</t>
  </si>
  <si>
    <t>T-52</t>
  </si>
  <si>
    <t>Northern Ireland</t>
  </si>
  <si>
    <t>NIR</t>
  </si>
  <si>
    <t>T-53</t>
  </si>
  <si>
    <t>NOR</t>
  </si>
  <si>
    <t>T-54</t>
  </si>
  <si>
    <t>PAN</t>
  </si>
  <si>
    <t>T-55</t>
  </si>
  <si>
    <t>PRY</t>
  </si>
  <si>
    <t>T-56</t>
  </si>
  <si>
    <t>Peru</t>
  </si>
  <si>
    <t>PER</t>
  </si>
  <si>
    <t>T-57</t>
  </si>
  <si>
    <t>Poland</t>
  </si>
  <si>
    <t>POL</t>
  </si>
  <si>
    <t>T-58</t>
  </si>
  <si>
    <t>PRT</t>
  </si>
  <si>
    <t>T-59</t>
  </si>
  <si>
    <t>QAT</t>
  </si>
  <si>
    <t>T-60</t>
  </si>
  <si>
    <t>Republic of Ireland</t>
  </si>
  <si>
    <t>IRL</t>
  </si>
  <si>
    <t>T-61</t>
  </si>
  <si>
    <t>Romania</t>
  </si>
  <si>
    <t>ROU</t>
  </si>
  <si>
    <t>T-62</t>
  </si>
  <si>
    <t>RUS</t>
  </si>
  <si>
    <t>T-63</t>
  </si>
  <si>
    <t>SAU</t>
  </si>
  <si>
    <t>T-64</t>
  </si>
  <si>
    <t>SCO</t>
  </si>
  <si>
    <t>T-65</t>
  </si>
  <si>
    <t>SEN</t>
  </si>
  <si>
    <t>T-66</t>
  </si>
  <si>
    <t>Serbia</t>
  </si>
  <si>
    <t>SRB</t>
  </si>
  <si>
    <t>T-67</t>
  </si>
  <si>
    <t>Serbia and Montenegro</t>
  </si>
  <si>
    <t>SCG</t>
  </si>
  <si>
    <t>T-68</t>
  </si>
  <si>
    <t>Slovakia</t>
  </si>
  <si>
    <t>SVK</t>
  </si>
  <si>
    <t>T-69</t>
  </si>
  <si>
    <t>Slovenia</t>
  </si>
  <si>
    <t>SVN</t>
  </si>
  <si>
    <t>T-70</t>
  </si>
  <si>
    <t>ZAF</t>
  </si>
  <si>
    <t>T-71</t>
  </si>
  <si>
    <t>KOR</t>
  </si>
  <si>
    <t>T-72</t>
  </si>
  <si>
    <t>Soviet Union</t>
  </si>
  <si>
    <t>SUN</t>
  </si>
  <si>
    <t>T-73</t>
  </si>
  <si>
    <t>ESP</t>
  </si>
  <si>
    <t>T-74</t>
  </si>
  <si>
    <t>SWE</t>
  </si>
  <si>
    <t>T-75</t>
  </si>
  <si>
    <t>CHE</t>
  </si>
  <si>
    <t>T-76</t>
  </si>
  <si>
    <t>Thailand</t>
  </si>
  <si>
    <t>THA</t>
  </si>
  <si>
    <t>T-77</t>
  </si>
  <si>
    <t>Togo</t>
  </si>
  <si>
    <t>TGO</t>
  </si>
  <si>
    <t>T-78</t>
  </si>
  <si>
    <t>Trinidad and Tobago</t>
  </si>
  <si>
    <t>TTO</t>
  </si>
  <si>
    <t>T-79</t>
  </si>
  <si>
    <t>TUN</t>
  </si>
  <si>
    <t>T-80</t>
  </si>
  <si>
    <t>Turkey</t>
  </si>
  <si>
    <t>TUR</t>
  </si>
  <si>
    <t>T-81</t>
  </si>
  <si>
    <t>Ukraine</t>
  </si>
  <si>
    <t>UKR</t>
  </si>
  <si>
    <t>T-82</t>
  </si>
  <si>
    <t>United Arab Emirates</t>
  </si>
  <si>
    <t>ARE</t>
  </si>
  <si>
    <t>T-83</t>
  </si>
  <si>
    <t>T-84</t>
  </si>
  <si>
    <t>URY</t>
  </si>
  <si>
    <t>T-85</t>
  </si>
  <si>
    <t>Wales</t>
  </si>
  <si>
    <t>WAL</t>
  </si>
  <si>
    <t>T-86</t>
  </si>
  <si>
    <t>West Germany</t>
  </si>
  <si>
    <t>T-87</t>
  </si>
  <si>
    <t>Yugoslavia</t>
  </si>
  <si>
    <t>YUG</t>
  </si>
  <si>
    <t>T-88</t>
  </si>
  <si>
    <t>Zaire</t>
  </si>
  <si>
    <t>COD</t>
  </si>
  <si>
    <t>T-89</t>
  </si>
  <si>
    <t>Cura�ao</t>
  </si>
  <si>
    <t>CUW</t>
  </si>
  <si>
    <t>T-90</t>
  </si>
  <si>
    <t>CPV</t>
  </si>
  <si>
    <t>T-91</t>
  </si>
  <si>
    <t>JOR</t>
  </si>
  <si>
    <t>T-92</t>
  </si>
  <si>
    <t>UZB</t>
  </si>
  <si>
    <t>home_team_id</t>
  </si>
  <si>
    <t>away_team_id</t>
  </si>
  <si>
    <t>Group A Runners-up</t>
  </si>
  <si>
    <t>Group B Runners-up</t>
  </si>
  <si>
    <t>Round of 32</t>
  </si>
  <si>
    <t>Group E Winners</t>
  </si>
  <si>
    <t>Group A/B/C/D/F 3rd Place</t>
  </si>
  <si>
    <t>Round of 16</t>
  </si>
  <si>
    <t>Quarter-Finals</t>
  </si>
  <si>
    <t>Semi-Finals</t>
  </si>
  <si>
    <t>Bronze Final</t>
  </si>
  <si>
    <t>Final</t>
  </si>
  <si>
    <t>Group F Winners</t>
  </si>
  <si>
    <t>Group C Runners-up</t>
  </si>
  <si>
    <t>Group C Winners</t>
  </si>
  <si>
    <t>Group F Runners-up</t>
  </si>
  <si>
    <t>Group I Winners</t>
  </si>
  <si>
    <t>Group C/D/F/G/H 3rd Place</t>
  </si>
  <si>
    <t>Group E Runners-up</t>
  </si>
  <si>
    <t>Group I Runners-up</t>
  </si>
  <si>
    <t>Group A Winners</t>
  </si>
  <si>
    <t>Group C/E/F/H/I 3rd Place</t>
  </si>
  <si>
    <t>Group L Winners</t>
  </si>
  <si>
    <t>Group E/H/I/J/K 3rd Place</t>
  </si>
  <si>
    <t>Group D Winners</t>
  </si>
  <si>
    <t>Group B/E/F/I/J 3rd Place</t>
  </si>
  <si>
    <t>Group G Winners</t>
  </si>
  <si>
    <t>Group A/E/H/I/J 3rd Place</t>
  </si>
  <si>
    <t>Group K Runners-up</t>
  </si>
  <si>
    <t>Group L Runners-up</t>
  </si>
  <si>
    <t>Group H Winners</t>
  </si>
  <si>
    <t>Group J Runners-up</t>
  </si>
  <si>
    <t>Group B Winners</t>
  </si>
  <si>
    <t>Group K Winners</t>
  </si>
  <si>
    <t>Group E/F/G/I/J 3rd Place</t>
  </si>
  <si>
    <t>Group J Winners</t>
  </si>
  <si>
    <t>Group H Runners-up</t>
  </si>
  <si>
    <t>Group D/E/I/J/L 3rd Place</t>
  </si>
  <si>
    <t>Group D Runners-up</t>
  </si>
  <si>
    <t>Group G Runners-up</t>
  </si>
  <si>
    <t>Winner Match 74</t>
  </si>
  <si>
    <t>Winner Match 77</t>
  </si>
  <si>
    <t>Winner Match 73</t>
  </si>
  <si>
    <t>Winner Match 75</t>
  </si>
  <si>
    <t>Winner Match 78</t>
  </si>
  <si>
    <t>Winner Match 76</t>
  </si>
  <si>
    <t>Winner Match 79</t>
  </si>
  <si>
    <t>Winner Match 80</t>
  </si>
  <si>
    <t>Winner Match 84</t>
  </si>
  <si>
    <t>Winner Match 83</t>
  </si>
  <si>
    <t>Winner Match 81</t>
  </si>
  <si>
    <t>Winner Match 82</t>
  </si>
  <si>
    <t>Winner Match 86</t>
  </si>
  <si>
    <t>Winner Match 85</t>
  </si>
  <si>
    <t>Winner Match 89</t>
  </si>
  <si>
    <t>Winner Match 93</t>
  </si>
  <si>
    <t>Winner Match 91</t>
  </si>
  <si>
    <t>Winner Match 95</t>
  </si>
  <si>
    <t>Winner Match 99</t>
  </si>
  <si>
    <t>Winner Match 97</t>
  </si>
  <si>
    <t>Winner Match 101</t>
  </si>
  <si>
    <t>Winner Match 88</t>
  </si>
  <si>
    <t>Winner Match 87</t>
  </si>
  <si>
    <t>Winner Match 90</t>
  </si>
  <si>
    <t>Winner Match 94</t>
  </si>
  <si>
    <t>Winner Match 92</t>
  </si>
  <si>
    <t>Winner Match 96</t>
  </si>
  <si>
    <t>Winner Match 98</t>
  </si>
  <si>
    <t>Winner Match 100</t>
  </si>
  <si>
    <t>stadium</t>
  </si>
  <si>
    <t>city</t>
  </si>
  <si>
    <t>Gilette Stadium</t>
  </si>
  <si>
    <t>New York</t>
  </si>
  <si>
    <t>Levi's Stadium</t>
  </si>
  <si>
    <t>San Fransisco</t>
  </si>
  <si>
    <t>Runner-up Match 101</t>
  </si>
  <si>
    <t>Runner-up Match 102</t>
  </si>
  <si>
    <t>Winner Match 102</t>
  </si>
  <si>
    <t>Miami</t>
  </si>
  <si>
    <t>T-99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</si>
</sst>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3277F-7F70-46C8-9FA7-2F397B0BD689}" name="fixtures" displayName="fixtures" ref="A1:K105" totalsRowShown="0">
  <autoFilter ref="A1:K105" xr:uid="{1433277F-7F70-46C8-9FA7-2F397B0BD689}"/>
  <tableColumns count="11">
    <tableColumn id="1" xr3:uid="{56F78C62-1BC2-4561-B5A5-EA107AE1F787}" name="key_id"/>
    <tableColumn id="2" xr3:uid="{0DA00091-7DE3-4153-A570-4B8F11B972C6}" name="home_team"/>
    <tableColumn id="3" xr3:uid="{0F145AD0-4592-413E-B5D7-29D0F16DE63F}" name="home_team_id">
      <calculatedColumnFormula>VLOOKUP(B2,$P$2:$Q$93,2,FALSE)</calculatedColumnFormula>
    </tableColumn>
    <tableColumn id="4" xr3:uid="{47B5E02B-0D19-45FB-95F5-3B7A424DA209}" name="away_team"/>
    <tableColumn id="5" xr3:uid="{6A2C6517-CC74-4883-A875-7C4C861D1986}" name="away_team_id">
      <calculatedColumnFormula>VLOOKUP(D2,$P$2:$Q$93,2,FALSE)</calculatedColumnFormula>
    </tableColumn>
    <tableColumn id="6" xr3:uid="{204A6E4B-0B10-468F-A07B-F3642A529AF0}" name="city"/>
    <tableColumn id="11" xr3:uid="{29641C71-D295-4E01-A048-2BA01B6B87EB}" name="stadium"/>
    <tableColumn id="7" xr3:uid="{B18026C7-BD02-47DA-B6CE-A87B0F6F2433}" name="stadium_id" dataDxfId="0"/>
    <tableColumn id="8" xr3:uid="{09DF7FE1-13D9-4515-B7DB-C04EBDF681AD}" name="date" dataDxfId="5"/>
    <tableColumn id="9" xr3:uid="{77F21709-473D-48DB-9E5F-C94D6710E980}" name="group"/>
    <tableColumn id="10" xr3:uid="{11BCE8D4-C613-447C-9304-B595B8D05786}" name="pha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tabSelected="1" workbookViewId="0">
      <selection activeCell="E48" sqref="E48"/>
    </sheetView>
  </sheetViews>
  <sheetFormatPr defaultRowHeight="15" x14ac:dyDescent="0.25"/>
  <cols>
    <col min="2" max="2" width="19.85546875" customWidth="1"/>
    <col min="3" max="3" width="16.85546875" customWidth="1"/>
    <col min="4" max="4" width="26" customWidth="1"/>
    <col min="5" max="5" width="16.28515625" customWidth="1"/>
    <col min="6" max="6" width="22.140625" bestFit="1" customWidth="1"/>
    <col min="7" max="7" width="22.140625" customWidth="1"/>
    <col min="8" max="8" width="13.140625" bestFit="1" customWidth="1"/>
    <col min="9" max="9" width="9.7109375" bestFit="1" customWidth="1"/>
    <col min="10" max="10" width="8.42578125" bestFit="1" customWidth="1"/>
    <col min="11" max="11" width="11.7109375" bestFit="1" customWidth="1"/>
  </cols>
  <sheetData>
    <row r="1" spans="1:18" x14ac:dyDescent="0.25">
      <c r="A1" t="s">
        <v>1</v>
      </c>
      <c r="B1" t="s">
        <v>3</v>
      </c>
      <c r="C1" t="s">
        <v>353</v>
      </c>
      <c r="D1" t="s">
        <v>4</v>
      </c>
      <c r="E1" t="s">
        <v>354</v>
      </c>
      <c r="F1" t="s">
        <v>423</v>
      </c>
      <c r="G1" t="s">
        <v>422</v>
      </c>
      <c r="H1" t="s">
        <v>0</v>
      </c>
      <c r="I1" t="s">
        <v>5</v>
      </c>
      <c r="J1" t="s">
        <v>6</v>
      </c>
      <c r="K1" t="s">
        <v>7</v>
      </c>
      <c r="O1" t="s">
        <v>1</v>
      </c>
      <c r="P1" t="s">
        <v>122</v>
      </c>
      <c r="Q1" t="s">
        <v>121</v>
      </c>
      <c r="R1" t="s">
        <v>123</v>
      </c>
    </row>
    <row r="2" spans="1:18" x14ac:dyDescent="0.25">
      <c r="A2">
        <v>1</v>
      </c>
      <c r="B2" t="s">
        <v>23</v>
      </c>
      <c r="C2" t="str">
        <f>IFERROR(VLOOKUP(B2,$P$2:$Q$93,2,FALSE), "T-99")</f>
        <v>T-46</v>
      </c>
      <c r="D2" t="s">
        <v>29</v>
      </c>
      <c r="E2" t="str">
        <f>IFERROR(VLOOKUP(D2,$P$2:$Q$93,2,FALSE), "T-99")</f>
        <v>T-70</v>
      </c>
      <c r="F2" t="s">
        <v>25</v>
      </c>
      <c r="G2" t="s">
        <v>25</v>
      </c>
      <c r="H2" t="s">
        <v>75</v>
      </c>
      <c r="I2" s="1">
        <v>46184</v>
      </c>
      <c r="J2" t="s">
        <v>80</v>
      </c>
      <c r="K2" t="s">
        <v>81</v>
      </c>
      <c r="O2">
        <v>1</v>
      </c>
      <c r="P2" t="s">
        <v>107</v>
      </c>
      <c r="Q2" t="s">
        <v>124</v>
      </c>
      <c r="R2" t="s">
        <v>125</v>
      </c>
    </row>
    <row r="3" spans="1:18" x14ac:dyDescent="0.25">
      <c r="A3">
        <v>2</v>
      </c>
      <c r="B3" t="s">
        <v>30</v>
      </c>
      <c r="C3" t="str">
        <f t="shared" ref="C3:C66" si="0">IFERROR(VLOOKUP(B3,$P$2:$Q$93,2,FALSE), "T-99")</f>
        <v>T-71</v>
      </c>
      <c r="D3" t="s">
        <v>82</v>
      </c>
      <c r="E3" t="str">
        <f t="shared" ref="E3:E66" si="1">IFERROR(VLOOKUP(D3,$P$2:$Q$93,2,FALSE), "T-99")</f>
        <v>T-99</v>
      </c>
      <c r="F3" t="s">
        <v>22</v>
      </c>
      <c r="G3" t="s">
        <v>22</v>
      </c>
      <c r="H3" t="s">
        <v>76</v>
      </c>
      <c r="I3" s="1">
        <v>46184</v>
      </c>
      <c r="J3" t="s">
        <v>80</v>
      </c>
      <c r="K3" t="s">
        <v>81</v>
      </c>
      <c r="O3">
        <v>2</v>
      </c>
      <c r="P3" t="s">
        <v>127</v>
      </c>
      <c r="Q3" t="s">
        <v>126</v>
      </c>
      <c r="R3" t="s">
        <v>128</v>
      </c>
    </row>
    <row r="4" spans="1:18" x14ac:dyDescent="0.25">
      <c r="A4">
        <v>3</v>
      </c>
      <c r="B4" t="s">
        <v>12</v>
      </c>
      <c r="C4" t="str">
        <f t="shared" si="0"/>
        <v>T-12</v>
      </c>
      <c r="D4" t="s">
        <v>82</v>
      </c>
      <c r="E4" t="str">
        <f t="shared" si="1"/>
        <v>T-99</v>
      </c>
      <c r="F4" t="s">
        <v>74</v>
      </c>
      <c r="G4" t="s">
        <v>74</v>
      </c>
      <c r="H4" t="s">
        <v>72</v>
      </c>
      <c r="I4" s="1">
        <v>46185</v>
      </c>
      <c r="J4" t="s">
        <v>85</v>
      </c>
      <c r="K4" t="s">
        <v>81</v>
      </c>
      <c r="O4">
        <v>3</v>
      </c>
      <c r="P4" t="s">
        <v>10</v>
      </c>
      <c r="Q4" t="s">
        <v>129</v>
      </c>
      <c r="R4" t="s">
        <v>130</v>
      </c>
    </row>
    <row r="5" spans="1:18" x14ac:dyDescent="0.25">
      <c r="A5">
        <v>4</v>
      </c>
      <c r="B5" t="s">
        <v>35</v>
      </c>
      <c r="C5" t="str">
        <f t="shared" si="0"/>
        <v>T-83</v>
      </c>
      <c r="D5" t="s">
        <v>84</v>
      </c>
      <c r="E5" t="str">
        <f t="shared" si="1"/>
        <v>T-55</v>
      </c>
      <c r="F5" t="s">
        <v>40</v>
      </c>
      <c r="G5" t="s">
        <v>51</v>
      </c>
      <c r="H5" t="s">
        <v>50</v>
      </c>
      <c r="I5" s="1">
        <v>46185</v>
      </c>
      <c r="J5" t="s">
        <v>86</v>
      </c>
      <c r="K5" t="s">
        <v>81</v>
      </c>
      <c r="O5">
        <v>4</v>
      </c>
      <c r="P5" t="s">
        <v>89</v>
      </c>
      <c r="Q5" t="s">
        <v>131</v>
      </c>
      <c r="R5" t="s">
        <v>132</v>
      </c>
    </row>
    <row r="6" spans="1:18" x14ac:dyDescent="0.25">
      <c r="A6">
        <v>5</v>
      </c>
      <c r="B6" t="s">
        <v>87</v>
      </c>
      <c r="C6" t="str">
        <f t="shared" si="0"/>
        <v>T-34</v>
      </c>
      <c r="D6" t="s">
        <v>88</v>
      </c>
      <c r="E6" t="str">
        <f t="shared" si="1"/>
        <v>T-64</v>
      </c>
      <c r="F6" t="s">
        <v>34</v>
      </c>
      <c r="G6" t="s">
        <v>424</v>
      </c>
      <c r="H6" t="s">
        <v>64</v>
      </c>
      <c r="I6" s="1">
        <v>46186</v>
      </c>
      <c r="J6" t="s">
        <v>91</v>
      </c>
      <c r="K6" t="s">
        <v>81</v>
      </c>
      <c r="O6">
        <v>5</v>
      </c>
      <c r="P6" t="s">
        <v>108</v>
      </c>
      <c r="Q6" t="s">
        <v>133</v>
      </c>
      <c r="R6" t="s">
        <v>134</v>
      </c>
    </row>
    <row r="7" spans="1:18" x14ac:dyDescent="0.25">
      <c r="A7">
        <v>6</v>
      </c>
      <c r="B7" t="s">
        <v>89</v>
      </c>
      <c r="C7" t="str">
        <f t="shared" si="0"/>
        <v>T-04</v>
      </c>
      <c r="D7" t="s">
        <v>82</v>
      </c>
      <c r="E7" t="str">
        <f t="shared" si="1"/>
        <v>T-99</v>
      </c>
      <c r="F7" t="s">
        <v>14</v>
      </c>
      <c r="G7" t="s">
        <v>90</v>
      </c>
      <c r="H7" t="s">
        <v>71</v>
      </c>
      <c r="I7" s="1">
        <v>46186</v>
      </c>
      <c r="J7" t="s">
        <v>86</v>
      </c>
      <c r="K7" t="s">
        <v>81</v>
      </c>
      <c r="O7">
        <v>6</v>
      </c>
      <c r="P7" t="s">
        <v>101</v>
      </c>
      <c r="Q7" t="s">
        <v>135</v>
      </c>
      <c r="R7" t="s">
        <v>136</v>
      </c>
    </row>
    <row r="8" spans="1:18" x14ac:dyDescent="0.25">
      <c r="A8">
        <v>7</v>
      </c>
      <c r="B8" t="s">
        <v>11</v>
      </c>
      <c r="C8" t="str">
        <f t="shared" si="0"/>
        <v>T-09</v>
      </c>
      <c r="D8" t="s">
        <v>92</v>
      </c>
      <c r="E8" t="str">
        <f t="shared" si="1"/>
        <v>T-47</v>
      </c>
      <c r="F8" t="s">
        <v>425</v>
      </c>
      <c r="G8" t="s">
        <v>54</v>
      </c>
      <c r="H8" t="s">
        <v>53</v>
      </c>
      <c r="I8" s="1">
        <v>46186</v>
      </c>
      <c r="J8" t="s">
        <v>91</v>
      </c>
      <c r="K8" t="s">
        <v>81</v>
      </c>
      <c r="O8">
        <v>7</v>
      </c>
      <c r="P8" t="s">
        <v>138</v>
      </c>
      <c r="Q8" t="s">
        <v>137</v>
      </c>
      <c r="R8" t="s">
        <v>139</v>
      </c>
    </row>
    <row r="9" spans="1:18" x14ac:dyDescent="0.25">
      <c r="A9">
        <v>8</v>
      </c>
      <c r="B9" t="s">
        <v>27</v>
      </c>
      <c r="C9" t="str">
        <f t="shared" si="0"/>
        <v>T-59</v>
      </c>
      <c r="D9" t="s">
        <v>33</v>
      </c>
      <c r="E9" t="str">
        <f t="shared" si="1"/>
        <v>T-75</v>
      </c>
      <c r="F9" t="s">
        <v>427</v>
      </c>
      <c r="G9" t="s">
        <v>426</v>
      </c>
      <c r="H9" t="s">
        <v>62</v>
      </c>
      <c r="I9" s="1">
        <v>46186</v>
      </c>
      <c r="J9" t="s">
        <v>85</v>
      </c>
      <c r="K9" t="s">
        <v>81</v>
      </c>
      <c r="O9">
        <v>8</v>
      </c>
      <c r="P9" t="s">
        <v>141</v>
      </c>
      <c r="Q9" t="s">
        <v>140</v>
      </c>
      <c r="R9" t="s">
        <v>142</v>
      </c>
    </row>
    <row r="10" spans="1:18" x14ac:dyDescent="0.25">
      <c r="A10">
        <v>9</v>
      </c>
      <c r="B10" t="s">
        <v>228</v>
      </c>
      <c r="C10" t="str">
        <f t="shared" si="0"/>
        <v>T-42</v>
      </c>
      <c r="D10" t="s">
        <v>93</v>
      </c>
      <c r="E10" t="str">
        <f t="shared" si="1"/>
        <v>T-25</v>
      </c>
      <c r="F10" t="s">
        <v>42</v>
      </c>
      <c r="G10" t="s">
        <v>42</v>
      </c>
      <c r="H10" t="s">
        <v>58</v>
      </c>
      <c r="I10" s="1">
        <v>46187</v>
      </c>
      <c r="J10" t="s">
        <v>96</v>
      </c>
      <c r="K10" t="s">
        <v>81</v>
      </c>
      <c r="O10">
        <v>9</v>
      </c>
      <c r="P10" t="s">
        <v>11</v>
      </c>
      <c r="Q10" t="s">
        <v>143</v>
      </c>
      <c r="R10" t="s">
        <v>144</v>
      </c>
    </row>
    <row r="11" spans="1:18" x14ac:dyDescent="0.25">
      <c r="A11">
        <v>10</v>
      </c>
      <c r="B11" t="s">
        <v>19</v>
      </c>
      <c r="C11" t="str">
        <f t="shared" si="0"/>
        <v>T-31</v>
      </c>
      <c r="D11" t="s">
        <v>345</v>
      </c>
      <c r="E11" t="str">
        <f t="shared" si="1"/>
        <v>T-89</v>
      </c>
      <c r="F11" t="s">
        <v>49</v>
      </c>
      <c r="G11" t="s">
        <v>49</v>
      </c>
      <c r="H11" t="s">
        <v>47</v>
      </c>
      <c r="I11" s="1">
        <v>46187</v>
      </c>
      <c r="J11" t="s">
        <v>96</v>
      </c>
      <c r="K11" t="s">
        <v>81</v>
      </c>
      <c r="O11">
        <v>10</v>
      </c>
      <c r="P11" t="s">
        <v>146</v>
      </c>
      <c r="Q11" t="s">
        <v>145</v>
      </c>
      <c r="R11" t="s">
        <v>147</v>
      </c>
    </row>
    <row r="12" spans="1:18" x14ac:dyDescent="0.25">
      <c r="A12">
        <v>11</v>
      </c>
      <c r="B12" t="s">
        <v>94</v>
      </c>
      <c r="C12" t="str">
        <f t="shared" si="0"/>
        <v>T-48</v>
      </c>
      <c r="D12" t="s">
        <v>21</v>
      </c>
      <c r="E12" t="str">
        <f t="shared" si="1"/>
        <v>T-44</v>
      </c>
      <c r="F12" t="s">
        <v>36</v>
      </c>
      <c r="G12" t="s">
        <v>45</v>
      </c>
      <c r="H12" t="s">
        <v>44</v>
      </c>
      <c r="I12" s="1">
        <v>46187</v>
      </c>
      <c r="J12" t="s">
        <v>97</v>
      </c>
      <c r="K12" t="s">
        <v>81</v>
      </c>
      <c r="O12">
        <v>11</v>
      </c>
      <c r="P12" t="s">
        <v>149</v>
      </c>
      <c r="Q12" t="s">
        <v>148</v>
      </c>
      <c r="R12" t="s">
        <v>150</v>
      </c>
    </row>
    <row r="13" spans="1:18" x14ac:dyDescent="0.25">
      <c r="A13">
        <v>12</v>
      </c>
      <c r="B13" t="s">
        <v>82</v>
      </c>
      <c r="C13" t="str">
        <f t="shared" si="0"/>
        <v>T-99</v>
      </c>
      <c r="D13" t="s">
        <v>95</v>
      </c>
      <c r="E13" t="str">
        <f t="shared" si="1"/>
        <v>T-79</v>
      </c>
      <c r="F13" t="s">
        <v>26</v>
      </c>
      <c r="G13" t="s">
        <v>26</v>
      </c>
      <c r="H13" t="s">
        <v>78</v>
      </c>
      <c r="I13" s="1">
        <v>46187</v>
      </c>
      <c r="J13" t="s">
        <v>97</v>
      </c>
      <c r="K13" t="s">
        <v>81</v>
      </c>
      <c r="O13">
        <v>12</v>
      </c>
      <c r="P13" t="s">
        <v>12</v>
      </c>
      <c r="Q13" t="s">
        <v>151</v>
      </c>
      <c r="R13" t="s">
        <v>152</v>
      </c>
    </row>
    <row r="14" spans="1:18" x14ac:dyDescent="0.25">
      <c r="A14">
        <v>13</v>
      </c>
      <c r="B14" t="s">
        <v>120</v>
      </c>
      <c r="C14" t="str">
        <f t="shared" si="0"/>
        <v>T-63</v>
      </c>
      <c r="D14" t="s">
        <v>43</v>
      </c>
      <c r="E14" t="str">
        <f t="shared" si="1"/>
        <v>T-84</v>
      </c>
      <c r="F14" t="s">
        <v>431</v>
      </c>
      <c r="G14" t="s">
        <v>69</v>
      </c>
      <c r="H14" t="s">
        <v>68</v>
      </c>
      <c r="I14" s="1">
        <v>46188</v>
      </c>
      <c r="J14" t="s">
        <v>103</v>
      </c>
      <c r="K14" t="s">
        <v>81</v>
      </c>
      <c r="O14">
        <v>13</v>
      </c>
      <c r="P14" t="s">
        <v>15</v>
      </c>
      <c r="Q14" t="s">
        <v>153</v>
      </c>
      <c r="R14" t="s">
        <v>154</v>
      </c>
    </row>
    <row r="15" spans="1:18" x14ac:dyDescent="0.25">
      <c r="A15">
        <v>14</v>
      </c>
      <c r="B15" t="s">
        <v>31</v>
      </c>
      <c r="C15" t="str">
        <f t="shared" si="0"/>
        <v>T-73</v>
      </c>
      <c r="D15" t="s">
        <v>98</v>
      </c>
      <c r="E15" t="str">
        <f t="shared" si="1"/>
        <v>T-90</v>
      </c>
      <c r="F15" t="s">
        <v>57</v>
      </c>
      <c r="G15" t="s">
        <v>57</v>
      </c>
      <c r="H15" t="s">
        <v>55</v>
      </c>
      <c r="I15" s="1">
        <v>46188</v>
      </c>
      <c r="J15" t="s">
        <v>103</v>
      </c>
      <c r="K15" t="s">
        <v>81</v>
      </c>
      <c r="O15">
        <v>14</v>
      </c>
      <c r="P15" t="s">
        <v>16</v>
      </c>
      <c r="Q15" t="s">
        <v>155</v>
      </c>
      <c r="R15" t="s">
        <v>156</v>
      </c>
    </row>
    <row r="16" spans="1:18" x14ac:dyDescent="0.25">
      <c r="A16">
        <v>15</v>
      </c>
      <c r="B16" t="s">
        <v>99</v>
      </c>
      <c r="C16" t="str">
        <f t="shared" si="0"/>
        <v>T-38</v>
      </c>
      <c r="D16" t="s">
        <v>100</v>
      </c>
      <c r="E16" t="str">
        <f t="shared" si="1"/>
        <v>T-49</v>
      </c>
      <c r="F16" t="s">
        <v>40</v>
      </c>
      <c r="G16" t="s">
        <v>51</v>
      </c>
      <c r="H16" t="s">
        <v>50</v>
      </c>
      <c r="I16" s="1">
        <v>46188</v>
      </c>
      <c r="J16" t="s">
        <v>104</v>
      </c>
      <c r="K16" t="s">
        <v>81</v>
      </c>
      <c r="O16">
        <v>15</v>
      </c>
      <c r="P16" t="s">
        <v>158</v>
      </c>
      <c r="Q16" t="s">
        <v>157</v>
      </c>
      <c r="R16" t="s">
        <v>159</v>
      </c>
    </row>
    <row r="17" spans="1:18" x14ac:dyDescent="0.25">
      <c r="A17">
        <v>16</v>
      </c>
      <c r="B17" t="s">
        <v>101</v>
      </c>
      <c r="C17" t="str">
        <f t="shared" si="0"/>
        <v>T-06</v>
      </c>
      <c r="D17" t="s">
        <v>102</v>
      </c>
      <c r="E17" t="str">
        <f t="shared" si="1"/>
        <v>T-26</v>
      </c>
      <c r="F17" t="s">
        <v>61</v>
      </c>
      <c r="G17" t="s">
        <v>60</v>
      </c>
      <c r="H17" t="s">
        <v>59</v>
      </c>
      <c r="I17" s="1">
        <v>46188</v>
      </c>
      <c r="J17" t="s">
        <v>104</v>
      </c>
      <c r="K17" t="s">
        <v>81</v>
      </c>
      <c r="O17">
        <v>16</v>
      </c>
      <c r="P17" t="s">
        <v>117</v>
      </c>
      <c r="Q17" t="s">
        <v>160</v>
      </c>
      <c r="R17" t="s">
        <v>161</v>
      </c>
    </row>
    <row r="18" spans="1:18" x14ac:dyDescent="0.25">
      <c r="A18">
        <v>17</v>
      </c>
      <c r="B18" t="s">
        <v>18</v>
      </c>
      <c r="C18" t="str">
        <f t="shared" si="0"/>
        <v>T-30</v>
      </c>
      <c r="D18" t="s">
        <v>105</v>
      </c>
      <c r="E18" t="str">
        <f t="shared" si="1"/>
        <v>T-65</v>
      </c>
      <c r="F18" t="s">
        <v>425</v>
      </c>
      <c r="G18" t="s">
        <v>54</v>
      </c>
      <c r="H18" t="s">
        <v>53</v>
      </c>
      <c r="I18" s="1">
        <v>46189</v>
      </c>
      <c r="J18" t="s">
        <v>110</v>
      </c>
      <c r="K18" t="s">
        <v>81</v>
      </c>
      <c r="O18">
        <v>17</v>
      </c>
      <c r="P18" t="s">
        <v>163</v>
      </c>
      <c r="Q18" t="s">
        <v>162</v>
      </c>
      <c r="R18" t="s">
        <v>164</v>
      </c>
    </row>
    <row r="19" spans="1:18" x14ac:dyDescent="0.25">
      <c r="A19">
        <v>18</v>
      </c>
      <c r="B19" t="s">
        <v>82</v>
      </c>
      <c r="C19" t="str">
        <f t="shared" si="0"/>
        <v>T-99</v>
      </c>
      <c r="D19" t="s">
        <v>106</v>
      </c>
      <c r="E19" t="str">
        <f t="shared" si="1"/>
        <v>T-53</v>
      </c>
      <c r="F19" t="s">
        <v>34</v>
      </c>
      <c r="G19" t="s">
        <v>424</v>
      </c>
      <c r="H19" t="s">
        <v>64</v>
      </c>
      <c r="I19" s="1">
        <v>46189</v>
      </c>
      <c r="J19" t="s">
        <v>110</v>
      </c>
      <c r="K19" t="s">
        <v>81</v>
      </c>
      <c r="O19">
        <v>18</v>
      </c>
      <c r="P19" t="s">
        <v>114</v>
      </c>
      <c r="Q19" t="s">
        <v>165</v>
      </c>
      <c r="R19" t="s">
        <v>166</v>
      </c>
    </row>
    <row r="20" spans="1:18" x14ac:dyDescent="0.25">
      <c r="A20">
        <v>19</v>
      </c>
      <c r="B20" t="s">
        <v>10</v>
      </c>
      <c r="C20" t="str">
        <f t="shared" si="0"/>
        <v>T-03</v>
      </c>
      <c r="D20" t="s">
        <v>107</v>
      </c>
      <c r="E20" t="str">
        <f t="shared" si="1"/>
        <v>T-01</v>
      </c>
      <c r="F20" t="s">
        <v>67</v>
      </c>
      <c r="G20" t="s">
        <v>67</v>
      </c>
      <c r="H20" t="s">
        <v>65</v>
      </c>
      <c r="I20" s="1">
        <v>46189</v>
      </c>
      <c r="J20" t="s">
        <v>111</v>
      </c>
      <c r="K20" t="s">
        <v>81</v>
      </c>
      <c r="O20">
        <v>19</v>
      </c>
      <c r="P20" t="s">
        <v>168</v>
      </c>
      <c r="Q20" t="s">
        <v>167</v>
      </c>
      <c r="R20" t="s">
        <v>169</v>
      </c>
    </row>
    <row r="21" spans="1:18" x14ac:dyDescent="0.25">
      <c r="A21">
        <v>20</v>
      </c>
      <c r="B21" t="s">
        <v>108</v>
      </c>
      <c r="C21" t="str">
        <f t="shared" si="0"/>
        <v>T-05</v>
      </c>
      <c r="D21" t="s">
        <v>109</v>
      </c>
      <c r="E21" t="str">
        <f t="shared" si="1"/>
        <v>T-91</v>
      </c>
      <c r="F21" t="s">
        <v>427</v>
      </c>
      <c r="G21" t="s">
        <v>426</v>
      </c>
      <c r="H21" t="s">
        <v>62</v>
      </c>
      <c r="I21" s="1">
        <v>46189</v>
      </c>
      <c r="J21" t="s">
        <v>111</v>
      </c>
      <c r="K21" t="s">
        <v>81</v>
      </c>
      <c r="O21">
        <v>20</v>
      </c>
      <c r="P21" t="s">
        <v>171</v>
      </c>
      <c r="Q21" t="s">
        <v>170</v>
      </c>
      <c r="R21" t="s">
        <v>172</v>
      </c>
    </row>
    <row r="22" spans="1:18" x14ac:dyDescent="0.25">
      <c r="A22">
        <v>21</v>
      </c>
      <c r="B22" t="s">
        <v>112</v>
      </c>
      <c r="C22" t="str">
        <f t="shared" si="0"/>
        <v>T-32</v>
      </c>
      <c r="D22" t="s">
        <v>113</v>
      </c>
      <c r="E22" t="str">
        <f t="shared" si="1"/>
        <v>T-54</v>
      </c>
      <c r="F22" t="s">
        <v>74</v>
      </c>
      <c r="G22" t="s">
        <v>74</v>
      </c>
      <c r="H22" t="s">
        <v>72</v>
      </c>
      <c r="I22" s="1">
        <v>46190</v>
      </c>
      <c r="J22" t="s">
        <v>118</v>
      </c>
      <c r="K22" t="s">
        <v>81</v>
      </c>
      <c r="O22">
        <v>21</v>
      </c>
      <c r="P22" t="s">
        <v>174</v>
      </c>
      <c r="Q22" t="s">
        <v>173</v>
      </c>
      <c r="R22" t="s">
        <v>175</v>
      </c>
    </row>
    <row r="23" spans="1:18" x14ac:dyDescent="0.25">
      <c r="A23">
        <v>22</v>
      </c>
      <c r="B23" t="s">
        <v>17</v>
      </c>
      <c r="C23" t="str">
        <f t="shared" si="0"/>
        <v>T-28</v>
      </c>
      <c r="D23" t="s">
        <v>114</v>
      </c>
      <c r="E23" t="str">
        <f t="shared" si="1"/>
        <v>T-18</v>
      </c>
      <c r="F23" t="s">
        <v>36</v>
      </c>
      <c r="G23" t="s">
        <v>45</v>
      </c>
      <c r="H23" t="s">
        <v>44</v>
      </c>
      <c r="I23" s="1">
        <v>46190</v>
      </c>
      <c r="J23" t="s">
        <v>118</v>
      </c>
      <c r="K23" t="s">
        <v>81</v>
      </c>
      <c r="O23">
        <v>22</v>
      </c>
      <c r="P23" t="s">
        <v>177</v>
      </c>
      <c r="Q23" t="s">
        <v>176</v>
      </c>
      <c r="R23" t="s">
        <v>178</v>
      </c>
    </row>
    <row r="24" spans="1:18" x14ac:dyDescent="0.25">
      <c r="A24">
        <v>23</v>
      </c>
      <c r="B24" t="s">
        <v>115</v>
      </c>
      <c r="C24" t="str">
        <f t="shared" si="0"/>
        <v>T-58</v>
      </c>
      <c r="D24" t="s">
        <v>82</v>
      </c>
      <c r="E24" t="str">
        <f t="shared" si="1"/>
        <v>T-99</v>
      </c>
      <c r="F24" t="s">
        <v>49</v>
      </c>
      <c r="G24" t="s">
        <v>49</v>
      </c>
      <c r="H24" t="s">
        <v>47</v>
      </c>
      <c r="I24" s="1">
        <v>46190</v>
      </c>
      <c r="J24" t="s">
        <v>119</v>
      </c>
      <c r="K24" t="s">
        <v>81</v>
      </c>
      <c r="O24">
        <v>23</v>
      </c>
      <c r="P24" t="s">
        <v>180</v>
      </c>
      <c r="Q24" t="s">
        <v>179</v>
      </c>
      <c r="R24" t="s">
        <v>181</v>
      </c>
    </row>
    <row r="25" spans="1:18" x14ac:dyDescent="0.25">
      <c r="A25">
        <v>24</v>
      </c>
      <c r="B25" t="s">
        <v>116</v>
      </c>
      <c r="C25" t="str">
        <f t="shared" si="0"/>
        <v>T-92</v>
      </c>
      <c r="D25" t="s">
        <v>117</v>
      </c>
      <c r="E25" t="str">
        <f t="shared" si="1"/>
        <v>T-16</v>
      </c>
      <c r="F25" t="s">
        <v>25</v>
      </c>
      <c r="G25" t="s">
        <v>25</v>
      </c>
      <c r="H25" t="s">
        <v>75</v>
      </c>
      <c r="I25" s="1">
        <v>46190</v>
      </c>
      <c r="J25" t="s">
        <v>119</v>
      </c>
      <c r="K25" t="s">
        <v>81</v>
      </c>
      <c r="O25">
        <v>24</v>
      </c>
      <c r="P25" t="s">
        <v>183</v>
      </c>
      <c r="Q25" t="s">
        <v>182</v>
      </c>
      <c r="R25" t="s">
        <v>184</v>
      </c>
    </row>
    <row r="26" spans="1:18" x14ac:dyDescent="0.25">
      <c r="A26">
        <v>25</v>
      </c>
      <c r="B26" t="s">
        <v>82</v>
      </c>
      <c r="C26" t="str">
        <f t="shared" si="0"/>
        <v>T-99</v>
      </c>
      <c r="D26" t="s">
        <v>29</v>
      </c>
      <c r="E26" t="str">
        <f t="shared" si="1"/>
        <v>T-70</v>
      </c>
      <c r="F26" t="s">
        <v>57</v>
      </c>
      <c r="G26" t="s">
        <v>57</v>
      </c>
      <c r="H26" t="s">
        <v>55</v>
      </c>
      <c r="I26" s="1">
        <v>46191</v>
      </c>
      <c r="J26" t="s">
        <v>80</v>
      </c>
      <c r="K26" t="s">
        <v>81</v>
      </c>
      <c r="O26">
        <v>25</v>
      </c>
      <c r="P26" t="s">
        <v>93</v>
      </c>
      <c r="Q26" t="s">
        <v>185</v>
      </c>
      <c r="R26" t="s">
        <v>186</v>
      </c>
    </row>
    <row r="27" spans="1:18" x14ac:dyDescent="0.25">
      <c r="A27">
        <v>26</v>
      </c>
      <c r="B27" t="s">
        <v>33</v>
      </c>
      <c r="C27" t="str">
        <f t="shared" si="0"/>
        <v>T-75</v>
      </c>
      <c r="D27" t="s">
        <v>82</v>
      </c>
      <c r="E27" t="str">
        <f t="shared" si="1"/>
        <v>T-99</v>
      </c>
      <c r="F27" t="s">
        <v>40</v>
      </c>
      <c r="G27" t="s">
        <v>51</v>
      </c>
      <c r="H27" t="s">
        <v>50</v>
      </c>
      <c r="I27" s="1">
        <v>46191</v>
      </c>
      <c r="J27" t="s">
        <v>85</v>
      </c>
      <c r="K27" t="s">
        <v>81</v>
      </c>
      <c r="O27">
        <v>26</v>
      </c>
      <c r="P27" t="s">
        <v>102</v>
      </c>
      <c r="Q27" t="s">
        <v>187</v>
      </c>
      <c r="R27" t="s">
        <v>188</v>
      </c>
    </row>
    <row r="28" spans="1:18" x14ac:dyDescent="0.25">
      <c r="A28">
        <v>27</v>
      </c>
      <c r="B28" t="s">
        <v>12</v>
      </c>
      <c r="C28" t="str">
        <f t="shared" si="0"/>
        <v>T-12</v>
      </c>
      <c r="D28" t="s">
        <v>27</v>
      </c>
      <c r="E28" t="str">
        <f t="shared" si="1"/>
        <v>T-59</v>
      </c>
      <c r="F28" t="s">
        <v>14</v>
      </c>
      <c r="G28" t="s">
        <v>90</v>
      </c>
      <c r="H28" t="s">
        <v>71</v>
      </c>
      <c r="I28" s="1">
        <v>46191</v>
      </c>
      <c r="J28" t="s">
        <v>85</v>
      </c>
      <c r="K28" t="s">
        <v>81</v>
      </c>
      <c r="O28">
        <v>27</v>
      </c>
      <c r="P28" t="s">
        <v>190</v>
      </c>
      <c r="Q28" t="s">
        <v>189</v>
      </c>
      <c r="R28" t="s">
        <v>191</v>
      </c>
    </row>
    <row r="29" spans="1:18" x14ac:dyDescent="0.25">
      <c r="A29">
        <v>28</v>
      </c>
      <c r="B29" t="s">
        <v>23</v>
      </c>
      <c r="C29" t="str">
        <f t="shared" si="0"/>
        <v>T-46</v>
      </c>
      <c r="D29" t="s">
        <v>30</v>
      </c>
      <c r="E29" t="str">
        <f t="shared" si="1"/>
        <v>T-71</v>
      </c>
      <c r="F29" t="s">
        <v>22</v>
      </c>
      <c r="G29" t="s">
        <v>22</v>
      </c>
      <c r="H29" t="s">
        <v>76</v>
      </c>
      <c r="I29" s="1">
        <v>46191</v>
      </c>
      <c r="J29" t="s">
        <v>80</v>
      </c>
      <c r="K29" t="s">
        <v>81</v>
      </c>
      <c r="O29">
        <v>28</v>
      </c>
      <c r="P29" t="s">
        <v>17</v>
      </c>
      <c r="Q29" t="s">
        <v>192</v>
      </c>
      <c r="R29" t="s">
        <v>193</v>
      </c>
    </row>
    <row r="30" spans="1:18" x14ac:dyDescent="0.25">
      <c r="A30">
        <v>29</v>
      </c>
      <c r="B30" t="s">
        <v>11</v>
      </c>
      <c r="C30" t="str">
        <f t="shared" si="0"/>
        <v>T-09</v>
      </c>
      <c r="D30" t="s">
        <v>87</v>
      </c>
      <c r="E30" t="str">
        <f t="shared" si="1"/>
        <v>T-34</v>
      </c>
      <c r="F30" t="s">
        <v>42</v>
      </c>
      <c r="G30" t="s">
        <v>42</v>
      </c>
      <c r="H30" t="s">
        <v>58</v>
      </c>
      <c r="I30" s="1">
        <v>46192</v>
      </c>
      <c r="J30" t="s">
        <v>91</v>
      </c>
      <c r="K30" t="s">
        <v>81</v>
      </c>
      <c r="O30">
        <v>29</v>
      </c>
      <c r="P30" t="s">
        <v>195</v>
      </c>
      <c r="Q30" t="s">
        <v>194</v>
      </c>
      <c r="R30" t="s">
        <v>196</v>
      </c>
    </row>
    <row r="31" spans="1:18" x14ac:dyDescent="0.25">
      <c r="A31">
        <v>30</v>
      </c>
      <c r="B31" t="s">
        <v>88</v>
      </c>
      <c r="C31" t="str">
        <f t="shared" si="0"/>
        <v>T-64</v>
      </c>
      <c r="D31" t="s">
        <v>92</v>
      </c>
      <c r="E31" t="str">
        <f t="shared" si="1"/>
        <v>T-47</v>
      </c>
      <c r="F31" t="s">
        <v>34</v>
      </c>
      <c r="G31" t="s">
        <v>424</v>
      </c>
      <c r="H31" t="s">
        <v>64</v>
      </c>
      <c r="I31" s="1">
        <v>46192</v>
      </c>
      <c r="J31" t="s">
        <v>91</v>
      </c>
      <c r="K31" t="s">
        <v>81</v>
      </c>
      <c r="O31">
        <v>30</v>
      </c>
      <c r="P31" t="s">
        <v>18</v>
      </c>
      <c r="Q31" t="s">
        <v>197</v>
      </c>
      <c r="R31" t="s">
        <v>198</v>
      </c>
    </row>
    <row r="32" spans="1:18" x14ac:dyDescent="0.25">
      <c r="A32">
        <v>31</v>
      </c>
      <c r="B32" t="s">
        <v>82</v>
      </c>
      <c r="C32" t="str">
        <f t="shared" si="0"/>
        <v>T-99</v>
      </c>
      <c r="D32" t="s">
        <v>84</v>
      </c>
      <c r="E32" t="str">
        <f t="shared" si="1"/>
        <v>T-55</v>
      </c>
      <c r="F32" t="s">
        <v>427</v>
      </c>
      <c r="G32" t="s">
        <v>426</v>
      </c>
      <c r="H32" t="s">
        <v>62</v>
      </c>
      <c r="I32" s="1">
        <v>46192</v>
      </c>
      <c r="J32" t="s">
        <v>86</v>
      </c>
      <c r="K32" t="s">
        <v>81</v>
      </c>
      <c r="O32">
        <v>31</v>
      </c>
      <c r="P32" t="s">
        <v>19</v>
      </c>
      <c r="Q32" t="s">
        <v>199</v>
      </c>
      <c r="R32" t="s">
        <v>200</v>
      </c>
    </row>
    <row r="33" spans="1:18" x14ac:dyDescent="0.25">
      <c r="A33">
        <v>32</v>
      </c>
      <c r="B33" t="s">
        <v>35</v>
      </c>
      <c r="C33" t="str">
        <f t="shared" si="0"/>
        <v>T-83</v>
      </c>
      <c r="D33" t="s">
        <v>89</v>
      </c>
      <c r="E33" t="str">
        <f t="shared" si="1"/>
        <v>T-04</v>
      </c>
      <c r="F33" t="s">
        <v>61</v>
      </c>
      <c r="G33" t="s">
        <v>60</v>
      </c>
      <c r="H33" t="s">
        <v>59</v>
      </c>
      <c r="I33" s="1">
        <v>46192</v>
      </c>
      <c r="J33" t="s">
        <v>86</v>
      </c>
      <c r="K33" t="s">
        <v>81</v>
      </c>
      <c r="O33">
        <v>32</v>
      </c>
      <c r="P33" t="s">
        <v>112</v>
      </c>
      <c r="Q33" t="s">
        <v>201</v>
      </c>
      <c r="R33" t="s">
        <v>202</v>
      </c>
    </row>
    <row r="34" spans="1:18" x14ac:dyDescent="0.25">
      <c r="A34">
        <v>33</v>
      </c>
      <c r="B34" t="s">
        <v>19</v>
      </c>
      <c r="C34" t="str">
        <f t="shared" si="0"/>
        <v>T-31</v>
      </c>
      <c r="D34" t="s">
        <v>228</v>
      </c>
      <c r="E34" t="str">
        <f t="shared" si="1"/>
        <v>T-42</v>
      </c>
      <c r="F34" t="s">
        <v>74</v>
      </c>
      <c r="G34" t="s">
        <v>74</v>
      </c>
      <c r="H34" t="s">
        <v>72</v>
      </c>
      <c r="I34" s="1">
        <v>46193</v>
      </c>
      <c r="J34" t="s">
        <v>96</v>
      </c>
      <c r="K34" t="s">
        <v>81</v>
      </c>
      <c r="O34">
        <v>33</v>
      </c>
      <c r="P34" t="s">
        <v>204</v>
      </c>
      <c r="Q34" t="s">
        <v>203</v>
      </c>
      <c r="R34" t="s">
        <v>205</v>
      </c>
    </row>
    <row r="35" spans="1:18" x14ac:dyDescent="0.25">
      <c r="A35">
        <v>34</v>
      </c>
      <c r="B35" t="s">
        <v>93</v>
      </c>
      <c r="C35" t="str">
        <f t="shared" si="0"/>
        <v>T-25</v>
      </c>
      <c r="D35" t="s">
        <v>345</v>
      </c>
      <c r="E35" t="str">
        <f t="shared" si="1"/>
        <v>T-89</v>
      </c>
      <c r="F35" t="s">
        <v>67</v>
      </c>
      <c r="G35" t="s">
        <v>67</v>
      </c>
      <c r="H35" t="s">
        <v>65</v>
      </c>
      <c r="I35" s="1">
        <v>46193</v>
      </c>
      <c r="J35" t="s">
        <v>96</v>
      </c>
      <c r="K35" t="s">
        <v>81</v>
      </c>
      <c r="O35">
        <v>34</v>
      </c>
      <c r="P35" t="s">
        <v>87</v>
      </c>
      <c r="Q35" t="s">
        <v>206</v>
      </c>
      <c r="R35" t="s">
        <v>207</v>
      </c>
    </row>
    <row r="36" spans="1:18" x14ac:dyDescent="0.25">
      <c r="A36">
        <v>35</v>
      </c>
      <c r="B36" t="s">
        <v>94</v>
      </c>
      <c r="C36" t="str">
        <f t="shared" si="0"/>
        <v>T-48</v>
      </c>
      <c r="D36" t="s">
        <v>82</v>
      </c>
      <c r="E36" t="str">
        <f t="shared" si="1"/>
        <v>T-99</v>
      </c>
      <c r="F36" t="s">
        <v>49</v>
      </c>
      <c r="G36" t="s">
        <v>49</v>
      </c>
      <c r="H36" t="s">
        <v>47</v>
      </c>
      <c r="I36" s="1">
        <v>46193</v>
      </c>
      <c r="J36" t="s">
        <v>97</v>
      </c>
      <c r="K36" t="s">
        <v>81</v>
      </c>
      <c r="O36">
        <v>35</v>
      </c>
      <c r="P36" t="s">
        <v>209</v>
      </c>
      <c r="Q36" t="s">
        <v>208</v>
      </c>
      <c r="R36" t="s">
        <v>210</v>
      </c>
    </row>
    <row r="37" spans="1:18" x14ac:dyDescent="0.25">
      <c r="A37">
        <v>36</v>
      </c>
      <c r="B37" t="s">
        <v>95</v>
      </c>
      <c r="C37" t="str">
        <f t="shared" si="0"/>
        <v>T-79</v>
      </c>
      <c r="D37" t="s">
        <v>21</v>
      </c>
      <c r="E37" t="str">
        <f t="shared" si="1"/>
        <v>T-44</v>
      </c>
      <c r="F37" t="s">
        <v>26</v>
      </c>
      <c r="G37" t="s">
        <v>26</v>
      </c>
      <c r="H37" t="s">
        <v>78</v>
      </c>
      <c r="I37" s="1">
        <v>46193</v>
      </c>
      <c r="J37" t="s">
        <v>97</v>
      </c>
      <c r="K37" t="s">
        <v>81</v>
      </c>
      <c r="O37">
        <v>36</v>
      </c>
      <c r="P37" t="s">
        <v>212</v>
      </c>
      <c r="Q37" t="s">
        <v>211</v>
      </c>
      <c r="R37" t="s">
        <v>213</v>
      </c>
    </row>
    <row r="38" spans="1:18" x14ac:dyDescent="0.25">
      <c r="A38">
        <v>37</v>
      </c>
      <c r="B38" t="s">
        <v>43</v>
      </c>
      <c r="C38" t="str">
        <f t="shared" si="0"/>
        <v>T-84</v>
      </c>
      <c r="D38" t="s">
        <v>98</v>
      </c>
      <c r="E38" t="str">
        <f t="shared" si="1"/>
        <v>T-90</v>
      </c>
      <c r="F38" t="s">
        <v>431</v>
      </c>
      <c r="G38" t="s">
        <v>69</v>
      </c>
      <c r="H38" t="s">
        <v>68</v>
      </c>
      <c r="I38" s="1">
        <v>46194</v>
      </c>
      <c r="J38" t="s">
        <v>103</v>
      </c>
      <c r="K38" t="s">
        <v>81</v>
      </c>
      <c r="O38">
        <v>37</v>
      </c>
      <c r="P38" t="s">
        <v>215</v>
      </c>
      <c r="Q38" t="s">
        <v>214</v>
      </c>
      <c r="R38" t="s">
        <v>216</v>
      </c>
    </row>
    <row r="39" spans="1:18" x14ac:dyDescent="0.25">
      <c r="A39">
        <v>38</v>
      </c>
      <c r="B39" t="s">
        <v>31</v>
      </c>
      <c r="C39" t="str">
        <f t="shared" si="0"/>
        <v>T-73</v>
      </c>
      <c r="D39" t="s">
        <v>120</v>
      </c>
      <c r="E39" t="str">
        <f t="shared" si="1"/>
        <v>T-63</v>
      </c>
      <c r="F39" t="s">
        <v>57</v>
      </c>
      <c r="G39" t="s">
        <v>57</v>
      </c>
      <c r="H39" t="s">
        <v>55</v>
      </c>
      <c r="I39" s="1">
        <v>46194</v>
      </c>
      <c r="J39" t="s">
        <v>103</v>
      </c>
      <c r="K39" t="s">
        <v>81</v>
      </c>
      <c r="O39">
        <v>38</v>
      </c>
      <c r="P39" t="s">
        <v>99</v>
      </c>
      <c r="Q39" t="s">
        <v>217</v>
      </c>
      <c r="R39" t="s">
        <v>218</v>
      </c>
    </row>
    <row r="40" spans="1:18" x14ac:dyDescent="0.25">
      <c r="A40">
        <v>39</v>
      </c>
      <c r="B40" t="s">
        <v>101</v>
      </c>
      <c r="C40" t="str">
        <f t="shared" si="0"/>
        <v>T-06</v>
      </c>
      <c r="D40" t="s">
        <v>99</v>
      </c>
      <c r="E40" t="str">
        <f t="shared" si="1"/>
        <v>T-38</v>
      </c>
      <c r="F40" t="s">
        <v>40</v>
      </c>
      <c r="G40" t="s">
        <v>51</v>
      </c>
      <c r="H40" t="s">
        <v>50</v>
      </c>
      <c r="I40" s="1">
        <v>46194</v>
      </c>
      <c r="J40" t="s">
        <v>104</v>
      </c>
      <c r="K40" t="s">
        <v>81</v>
      </c>
      <c r="O40">
        <v>39</v>
      </c>
      <c r="P40" t="s">
        <v>220</v>
      </c>
      <c r="Q40" t="s">
        <v>219</v>
      </c>
      <c r="R40" t="s">
        <v>221</v>
      </c>
    </row>
    <row r="41" spans="1:18" x14ac:dyDescent="0.25">
      <c r="A41">
        <v>40</v>
      </c>
      <c r="B41" t="s">
        <v>100</v>
      </c>
      <c r="C41" t="str">
        <f t="shared" si="0"/>
        <v>T-49</v>
      </c>
      <c r="D41" t="s">
        <v>102</v>
      </c>
      <c r="E41" t="str">
        <f t="shared" si="1"/>
        <v>T-26</v>
      </c>
      <c r="F41" t="s">
        <v>14</v>
      </c>
      <c r="G41" t="s">
        <v>90</v>
      </c>
      <c r="H41" t="s">
        <v>71</v>
      </c>
      <c r="I41" s="1">
        <v>46194</v>
      </c>
      <c r="J41" t="s">
        <v>104</v>
      </c>
      <c r="K41" t="s">
        <v>81</v>
      </c>
      <c r="O41">
        <v>40</v>
      </c>
      <c r="P41" t="s">
        <v>223</v>
      </c>
      <c r="Q41" t="s">
        <v>222</v>
      </c>
      <c r="R41" t="s">
        <v>224</v>
      </c>
    </row>
    <row r="42" spans="1:18" x14ac:dyDescent="0.25">
      <c r="A42">
        <v>41</v>
      </c>
      <c r="B42" t="s">
        <v>106</v>
      </c>
      <c r="C42" t="str">
        <f t="shared" si="0"/>
        <v>T-53</v>
      </c>
      <c r="D42" t="s">
        <v>105</v>
      </c>
      <c r="E42" t="str">
        <f t="shared" si="1"/>
        <v>T-65</v>
      </c>
      <c r="F42" t="s">
        <v>425</v>
      </c>
      <c r="G42" t="s">
        <v>54</v>
      </c>
      <c r="H42" t="s">
        <v>53</v>
      </c>
      <c r="I42" s="1">
        <v>46195</v>
      </c>
      <c r="J42" t="s">
        <v>110</v>
      </c>
      <c r="K42" t="s">
        <v>81</v>
      </c>
      <c r="O42">
        <v>41</v>
      </c>
      <c r="P42" t="s">
        <v>20</v>
      </c>
      <c r="Q42" t="s">
        <v>225</v>
      </c>
      <c r="R42" t="s">
        <v>226</v>
      </c>
    </row>
    <row r="43" spans="1:18" x14ac:dyDescent="0.25">
      <c r="A43">
        <v>42</v>
      </c>
      <c r="B43" t="s">
        <v>18</v>
      </c>
      <c r="C43" t="str">
        <f t="shared" si="0"/>
        <v>T-30</v>
      </c>
      <c r="D43" t="s">
        <v>82</v>
      </c>
      <c r="E43" t="str">
        <f t="shared" si="1"/>
        <v>T-99</v>
      </c>
      <c r="F43" t="s">
        <v>42</v>
      </c>
      <c r="G43" t="s">
        <v>42</v>
      </c>
      <c r="H43" t="s">
        <v>58</v>
      </c>
      <c r="I43" s="1">
        <v>46195</v>
      </c>
      <c r="J43" t="s">
        <v>110</v>
      </c>
      <c r="K43" t="s">
        <v>81</v>
      </c>
      <c r="O43">
        <v>42</v>
      </c>
      <c r="P43" t="s">
        <v>228</v>
      </c>
      <c r="Q43" t="s">
        <v>227</v>
      </c>
      <c r="R43" t="s">
        <v>229</v>
      </c>
    </row>
    <row r="44" spans="1:18" x14ac:dyDescent="0.25">
      <c r="A44">
        <v>43</v>
      </c>
      <c r="B44" t="s">
        <v>10</v>
      </c>
      <c r="C44" t="str">
        <f t="shared" si="0"/>
        <v>T-03</v>
      </c>
      <c r="D44" t="s">
        <v>108</v>
      </c>
      <c r="E44" t="str">
        <f t="shared" si="1"/>
        <v>T-05</v>
      </c>
      <c r="F44" t="s">
        <v>36</v>
      </c>
      <c r="G44" t="s">
        <v>45</v>
      </c>
      <c r="H44" t="s">
        <v>44</v>
      </c>
      <c r="I44" s="1">
        <v>46195</v>
      </c>
      <c r="J44" t="s">
        <v>111</v>
      </c>
      <c r="K44" t="s">
        <v>81</v>
      </c>
      <c r="O44">
        <v>43</v>
      </c>
      <c r="P44" t="s">
        <v>231</v>
      </c>
      <c r="Q44" t="s">
        <v>230</v>
      </c>
      <c r="R44" t="s">
        <v>232</v>
      </c>
    </row>
    <row r="45" spans="1:18" x14ac:dyDescent="0.25">
      <c r="A45">
        <v>44</v>
      </c>
      <c r="B45" t="s">
        <v>109</v>
      </c>
      <c r="C45" t="str">
        <f t="shared" si="0"/>
        <v>T-91</v>
      </c>
      <c r="D45" t="s">
        <v>107</v>
      </c>
      <c r="E45" t="str">
        <f t="shared" si="1"/>
        <v>T-01</v>
      </c>
      <c r="F45" t="s">
        <v>427</v>
      </c>
      <c r="G45" t="s">
        <v>426</v>
      </c>
      <c r="H45" t="s">
        <v>62</v>
      </c>
      <c r="I45" s="1">
        <v>46195</v>
      </c>
      <c r="J45" t="s">
        <v>111</v>
      </c>
      <c r="K45" t="s">
        <v>81</v>
      </c>
      <c r="O45">
        <v>44</v>
      </c>
      <c r="P45" t="s">
        <v>21</v>
      </c>
      <c r="Q45" t="s">
        <v>233</v>
      </c>
      <c r="R45" t="s">
        <v>234</v>
      </c>
    </row>
    <row r="46" spans="1:18" x14ac:dyDescent="0.25">
      <c r="A46">
        <v>45</v>
      </c>
      <c r="B46" t="s">
        <v>17</v>
      </c>
      <c r="C46" t="str">
        <f t="shared" si="0"/>
        <v>T-28</v>
      </c>
      <c r="D46" t="s">
        <v>112</v>
      </c>
      <c r="E46" t="str">
        <f t="shared" si="1"/>
        <v>T-32</v>
      </c>
      <c r="F46" t="s">
        <v>34</v>
      </c>
      <c r="G46" t="s">
        <v>424</v>
      </c>
      <c r="H46" t="s">
        <v>64</v>
      </c>
      <c r="I46" s="1">
        <v>46196</v>
      </c>
      <c r="J46" t="s">
        <v>118</v>
      </c>
      <c r="K46" t="s">
        <v>81</v>
      </c>
      <c r="O46">
        <v>45</v>
      </c>
      <c r="P46" t="s">
        <v>236</v>
      </c>
      <c r="Q46" t="s">
        <v>235</v>
      </c>
      <c r="R46" t="s">
        <v>237</v>
      </c>
    </row>
    <row r="47" spans="1:18" x14ac:dyDescent="0.25">
      <c r="A47">
        <v>46</v>
      </c>
      <c r="B47" t="s">
        <v>113</v>
      </c>
      <c r="C47" t="str">
        <f t="shared" si="0"/>
        <v>T-54</v>
      </c>
      <c r="D47" t="s">
        <v>114</v>
      </c>
      <c r="E47" t="str">
        <f t="shared" si="1"/>
        <v>T-18</v>
      </c>
      <c r="F47" t="s">
        <v>74</v>
      </c>
      <c r="G47" t="s">
        <v>74</v>
      </c>
      <c r="H47" t="s">
        <v>72</v>
      </c>
      <c r="I47" s="1">
        <v>46196</v>
      </c>
      <c r="J47" t="s">
        <v>118</v>
      </c>
      <c r="K47" t="s">
        <v>81</v>
      </c>
      <c r="O47">
        <v>46</v>
      </c>
      <c r="P47" t="s">
        <v>23</v>
      </c>
      <c r="Q47" t="s">
        <v>238</v>
      </c>
      <c r="R47" t="s">
        <v>239</v>
      </c>
    </row>
    <row r="48" spans="1:18" x14ac:dyDescent="0.25">
      <c r="A48">
        <v>47</v>
      </c>
      <c r="B48" t="s">
        <v>115</v>
      </c>
      <c r="C48" t="str">
        <f t="shared" si="0"/>
        <v>T-58</v>
      </c>
      <c r="D48" t="s">
        <v>116</v>
      </c>
      <c r="E48" t="str">
        <f t="shared" si="1"/>
        <v>T-92</v>
      </c>
      <c r="F48" t="s">
        <v>49</v>
      </c>
      <c r="G48" t="s">
        <v>49</v>
      </c>
      <c r="H48" t="s">
        <v>47</v>
      </c>
      <c r="I48" s="1">
        <v>46196</v>
      </c>
      <c r="J48" t="s">
        <v>119</v>
      </c>
      <c r="K48" t="s">
        <v>81</v>
      </c>
      <c r="O48">
        <v>47</v>
      </c>
      <c r="P48" t="s">
        <v>92</v>
      </c>
      <c r="Q48" t="s">
        <v>240</v>
      </c>
      <c r="R48" t="s">
        <v>241</v>
      </c>
    </row>
    <row r="49" spans="1:18" x14ac:dyDescent="0.25">
      <c r="A49">
        <v>48</v>
      </c>
      <c r="B49" t="s">
        <v>117</v>
      </c>
      <c r="C49" t="str">
        <f t="shared" si="0"/>
        <v>T-16</v>
      </c>
      <c r="D49" t="s">
        <v>82</v>
      </c>
      <c r="E49" t="str">
        <f t="shared" si="1"/>
        <v>T-99</v>
      </c>
      <c r="F49" t="s">
        <v>22</v>
      </c>
      <c r="G49" t="s">
        <v>22</v>
      </c>
      <c r="H49" t="s">
        <v>76</v>
      </c>
      <c r="I49" s="1">
        <v>46196</v>
      </c>
      <c r="J49" t="s">
        <v>119</v>
      </c>
      <c r="K49" t="s">
        <v>81</v>
      </c>
      <c r="O49">
        <v>48</v>
      </c>
      <c r="P49" t="s">
        <v>94</v>
      </c>
      <c r="Q49" t="s">
        <v>242</v>
      </c>
      <c r="R49" t="s">
        <v>243</v>
      </c>
    </row>
    <row r="50" spans="1:18" x14ac:dyDescent="0.25">
      <c r="A50">
        <v>49</v>
      </c>
      <c r="B50" t="s">
        <v>88</v>
      </c>
      <c r="C50" t="str">
        <f t="shared" si="0"/>
        <v>T-64</v>
      </c>
      <c r="D50" t="s">
        <v>11</v>
      </c>
      <c r="E50" t="str">
        <f t="shared" si="1"/>
        <v>T-09</v>
      </c>
      <c r="F50" t="s">
        <v>431</v>
      </c>
      <c r="G50" t="s">
        <v>69</v>
      </c>
      <c r="H50" t="s">
        <v>68</v>
      </c>
      <c r="I50" s="1">
        <v>46197</v>
      </c>
      <c r="J50" t="s">
        <v>91</v>
      </c>
      <c r="K50" t="s">
        <v>81</v>
      </c>
      <c r="O50">
        <v>49</v>
      </c>
      <c r="P50" t="s">
        <v>100</v>
      </c>
      <c r="Q50" t="s">
        <v>244</v>
      </c>
      <c r="R50" t="s">
        <v>245</v>
      </c>
    </row>
    <row r="51" spans="1:18" x14ac:dyDescent="0.25">
      <c r="A51">
        <v>50</v>
      </c>
      <c r="B51" t="s">
        <v>92</v>
      </c>
      <c r="C51" t="str">
        <f t="shared" si="0"/>
        <v>T-47</v>
      </c>
      <c r="D51" t="s">
        <v>87</v>
      </c>
      <c r="E51" t="str">
        <f t="shared" si="1"/>
        <v>T-34</v>
      </c>
      <c r="F51" t="s">
        <v>57</v>
      </c>
      <c r="G51" t="s">
        <v>57</v>
      </c>
      <c r="H51" t="s">
        <v>55</v>
      </c>
      <c r="I51" s="1">
        <v>46197</v>
      </c>
      <c r="J51" t="s">
        <v>91</v>
      </c>
      <c r="K51" t="s">
        <v>81</v>
      </c>
      <c r="O51">
        <v>50</v>
      </c>
      <c r="P51" t="s">
        <v>247</v>
      </c>
      <c r="Q51" t="s">
        <v>246</v>
      </c>
      <c r="R51" t="s">
        <v>248</v>
      </c>
    </row>
    <row r="52" spans="1:18" x14ac:dyDescent="0.25">
      <c r="A52">
        <v>51</v>
      </c>
      <c r="B52" t="s">
        <v>33</v>
      </c>
      <c r="C52" t="str">
        <f t="shared" si="0"/>
        <v>T-75</v>
      </c>
      <c r="D52" t="s">
        <v>12</v>
      </c>
      <c r="E52" t="str">
        <f t="shared" si="1"/>
        <v>T-12</v>
      </c>
      <c r="F52" t="s">
        <v>14</v>
      </c>
      <c r="G52" t="s">
        <v>90</v>
      </c>
      <c r="H52" t="s">
        <v>71</v>
      </c>
      <c r="I52" s="1">
        <v>46197</v>
      </c>
      <c r="J52" t="s">
        <v>85</v>
      </c>
      <c r="K52" t="s">
        <v>81</v>
      </c>
      <c r="O52">
        <v>51</v>
      </c>
      <c r="P52" t="s">
        <v>250</v>
      </c>
      <c r="Q52" t="s">
        <v>249</v>
      </c>
      <c r="R52" t="s">
        <v>251</v>
      </c>
    </row>
    <row r="53" spans="1:18" x14ac:dyDescent="0.25">
      <c r="A53">
        <v>52</v>
      </c>
      <c r="B53" t="s">
        <v>82</v>
      </c>
      <c r="C53" t="str">
        <f t="shared" si="0"/>
        <v>T-99</v>
      </c>
      <c r="D53" t="s">
        <v>27</v>
      </c>
      <c r="E53" t="str">
        <f t="shared" si="1"/>
        <v>T-59</v>
      </c>
      <c r="F53" t="s">
        <v>61</v>
      </c>
      <c r="G53" t="s">
        <v>60</v>
      </c>
      <c r="H53" t="s">
        <v>59</v>
      </c>
      <c r="I53" s="1">
        <v>46197</v>
      </c>
      <c r="J53" t="s">
        <v>85</v>
      </c>
      <c r="K53" t="s">
        <v>81</v>
      </c>
      <c r="O53">
        <v>52</v>
      </c>
      <c r="P53" t="s">
        <v>253</v>
      </c>
      <c r="Q53" t="s">
        <v>252</v>
      </c>
      <c r="R53" t="s">
        <v>254</v>
      </c>
    </row>
    <row r="54" spans="1:18" x14ac:dyDescent="0.25">
      <c r="A54">
        <v>53</v>
      </c>
      <c r="B54" t="s">
        <v>82</v>
      </c>
      <c r="C54" t="str">
        <f t="shared" si="0"/>
        <v>T-99</v>
      </c>
      <c r="D54" t="s">
        <v>23</v>
      </c>
      <c r="E54" t="str">
        <f t="shared" si="1"/>
        <v>T-46</v>
      </c>
      <c r="F54" t="s">
        <v>25</v>
      </c>
      <c r="G54" t="s">
        <v>25</v>
      </c>
      <c r="H54" t="s">
        <v>75</v>
      </c>
      <c r="I54" s="1">
        <v>46197</v>
      </c>
      <c r="J54" t="s">
        <v>80</v>
      </c>
      <c r="K54" t="s">
        <v>81</v>
      </c>
      <c r="O54">
        <v>53</v>
      </c>
      <c r="P54" t="s">
        <v>106</v>
      </c>
      <c r="Q54" t="s">
        <v>255</v>
      </c>
      <c r="R54" t="s">
        <v>256</v>
      </c>
    </row>
    <row r="55" spans="1:18" x14ac:dyDescent="0.25">
      <c r="A55">
        <v>54</v>
      </c>
      <c r="B55" t="s">
        <v>29</v>
      </c>
      <c r="C55" t="str">
        <f t="shared" si="0"/>
        <v>T-70</v>
      </c>
      <c r="D55" t="s">
        <v>30</v>
      </c>
      <c r="E55" t="str">
        <f t="shared" si="1"/>
        <v>T-71</v>
      </c>
      <c r="F55" t="s">
        <v>26</v>
      </c>
      <c r="G55" t="s">
        <v>26</v>
      </c>
      <c r="H55" t="s">
        <v>78</v>
      </c>
      <c r="I55" s="1">
        <v>46197</v>
      </c>
      <c r="J55" t="s">
        <v>80</v>
      </c>
      <c r="K55" t="s">
        <v>81</v>
      </c>
      <c r="O55">
        <v>54</v>
      </c>
      <c r="P55" t="s">
        <v>113</v>
      </c>
      <c r="Q55" t="s">
        <v>257</v>
      </c>
      <c r="R55" t="s">
        <v>258</v>
      </c>
    </row>
    <row r="56" spans="1:18" x14ac:dyDescent="0.25">
      <c r="A56">
        <v>55</v>
      </c>
      <c r="B56" t="s">
        <v>345</v>
      </c>
      <c r="C56" t="str">
        <f t="shared" si="0"/>
        <v>T-89</v>
      </c>
      <c r="D56" t="s">
        <v>228</v>
      </c>
      <c r="E56" t="str">
        <f t="shared" si="1"/>
        <v>T-42</v>
      </c>
      <c r="F56" t="s">
        <v>42</v>
      </c>
      <c r="G56" t="s">
        <v>42</v>
      </c>
      <c r="H56" t="s">
        <v>58</v>
      </c>
      <c r="I56" s="1">
        <v>46198</v>
      </c>
      <c r="J56" t="s">
        <v>96</v>
      </c>
      <c r="K56" t="s">
        <v>81</v>
      </c>
      <c r="O56">
        <v>55</v>
      </c>
      <c r="P56" t="s">
        <v>84</v>
      </c>
      <c r="Q56" t="s">
        <v>259</v>
      </c>
      <c r="R56" t="s">
        <v>260</v>
      </c>
    </row>
    <row r="57" spans="1:18" x14ac:dyDescent="0.25">
      <c r="A57">
        <v>56</v>
      </c>
      <c r="B57" t="s">
        <v>93</v>
      </c>
      <c r="C57" t="str">
        <f t="shared" si="0"/>
        <v>T-25</v>
      </c>
      <c r="D57" t="s">
        <v>19</v>
      </c>
      <c r="E57" t="str">
        <f t="shared" si="1"/>
        <v>T-31</v>
      </c>
      <c r="F57" t="s">
        <v>425</v>
      </c>
      <c r="G57" t="s">
        <v>54</v>
      </c>
      <c r="H57" t="s">
        <v>53</v>
      </c>
      <c r="I57" s="1">
        <v>46198</v>
      </c>
      <c r="J57" t="s">
        <v>96</v>
      </c>
      <c r="K57" t="s">
        <v>81</v>
      </c>
      <c r="O57">
        <v>56</v>
      </c>
      <c r="P57" t="s">
        <v>262</v>
      </c>
      <c r="Q57" t="s">
        <v>261</v>
      </c>
      <c r="R57" t="s">
        <v>263</v>
      </c>
    </row>
    <row r="58" spans="1:18" x14ac:dyDescent="0.25">
      <c r="A58">
        <v>57</v>
      </c>
      <c r="B58" t="s">
        <v>21</v>
      </c>
      <c r="C58" t="str">
        <f t="shared" si="0"/>
        <v>T-44</v>
      </c>
      <c r="D58" t="s">
        <v>82</v>
      </c>
      <c r="E58" t="str">
        <f t="shared" si="1"/>
        <v>T-99</v>
      </c>
      <c r="F58" t="s">
        <v>36</v>
      </c>
      <c r="G58" t="s">
        <v>45</v>
      </c>
      <c r="H58" t="s">
        <v>44</v>
      </c>
      <c r="I58" s="1">
        <v>46198</v>
      </c>
      <c r="J58" t="s">
        <v>97</v>
      </c>
      <c r="K58" t="s">
        <v>81</v>
      </c>
      <c r="O58">
        <v>57</v>
      </c>
      <c r="P58" t="s">
        <v>265</v>
      </c>
      <c r="Q58" t="s">
        <v>264</v>
      </c>
      <c r="R58" t="s">
        <v>266</v>
      </c>
    </row>
    <row r="59" spans="1:18" x14ac:dyDescent="0.25">
      <c r="A59">
        <v>58</v>
      </c>
      <c r="B59" t="s">
        <v>95</v>
      </c>
      <c r="C59" t="str">
        <f t="shared" si="0"/>
        <v>T-79</v>
      </c>
      <c r="D59" t="s">
        <v>94</v>
      </c>
      <c r="E59" t="str">
        <f t="shared" si="1"/>
        <v>T-48</v>
      </c>
      <c r="F59" t="s">
        <v>67</v>
      </c>
      <c r="G59" t="s">
        <v>67</v>
      </c>
      <c r="H59" t="s">
        <v>65</v>
      </c>
      <c r="I59" s="1">
        <v>46198</v>
      </c>
      <c r="J59" t="s">
        <v>97</v>
      </c>
      <c r="K59" t="s">
        <v>81</v>
      </c>
      <c r="O59">
        <v>58</v>
      </c>
      <c r="P59" t="s">
        <v>115</v>
      </c>
      <c r="Q59" t="s">
        <v>267</v>
      </c>
      <c r="R59" t="s">
        <v>268</v>
      </c>
    </row>
    <row r="60" spans="1:18" x14ac:dyDescent="0.25">
      <c r="A60">
        <v>59</v>
      </c>
      <c r="B60" t="s">
        <v>82</v>
      </c>
      <c r="C60" t="str">
        <f t="shared" si="0"/>
        <v>T-99</v>
      </c>
      <c r="D60" t="s">
        <v>35</v>
      </c>
      <c r="E60" t="str">
        <f t="shared" si="1"/>
        <v>T-83</v>
      </c>
      <c r="F60" t="s">
        <v>40</v>
      </c>
      <c r="G60" t="s">
        <v>51</v>
      </c>
      <c r="H60" t="s">
        <v>50</v>
      </c>
      <c r="I60" s="1">
        <v>46198</v>
      </c>
      <c r="J60" t="s">
        <v>86</v>
      </c>
      <c r="K60" t="s">
        <v>81</v>
      </c>
      <c r="O60">
        <v>59</v>
      </c>
      <c r="P60" t="s">
        <v>27</v>
      </c>
      <c r="Q60" t="s">
        <v>269</v>
      </c>
      <c r="R60" t="s">
        <v>270</v>
      </c>
    </row>
    <row r="61" spans="1:18" x14ac:dyDescent="0.25">
      <c r="A61">
        <v>60</v>
      </c>
      <c r="B61" t="s">
        <v>84</v>
      </c>
      <c r="C61" t="str">
        <f t="shared" si="0"/>
        <v>T-55</v>
      </c>
      <c r="D61" t="s">
        <v>89</v>
      </c>
      <c r="E61" t="str">
        <f t="shared" si="1"/>
        <v>T-04</v>
      </c>
      <c r="F61" t="s">
        <v>427</v>
      </c>
      <c r="G61" t="s">
        <v>426</v>
      </c>
      <c r="H61" t="s">
        <v>62</v>
      </c>
      <c r="I61" s="1">
        <v>46198</v>
      </c>
      <c r="J61" t="s">
        <v>86</v>
      </c>
      <c r="K61" t="s">
        <v>81</v>
      </c>
      <c r="O61">
        <v>60</v>
      </c>
      <c r="P61" t="s">
        <v>272</v>
      </c>
      <c r="Q61" t="s">
        <v>271</v>
      </c>
      <c r="R61" t="s">
        <v>273</v>
      </c>
    </row>
    <row r="62" spans="1:18" x14ac:dyDescent="0.25">
      <c r="A62">
        <v>61</v>
      </c>
      <c r="B62" t="s">
        <v>106</v>
      </c>
      <c r="C62" t="str">
        <f t="shared" si="0"/>
        <v>T-53</v>
      </c>
      <c r="D62" t="s">
        <v>18</v>
      </c>
      <c r="E62" t="str">
        <f t="shared" si="1"/>
        <v>T-30</v>
      </c>
      <c r="F62" t="s">
        <v>34</v>
      </c>
      <c r="G62" t="s">
        <v>424</v>
      </c>
      <c r="H62" t="s">
        <v>64</v>
      </c>
      <c r="I62" s="1">
        <v>46199</v>
      </c>
      <c r="J62" t="s">
        <v>110</v>
      </c>
      <c r="K62" t="s">
        <v>81</v>
      </c>
      <c r="O62">
        <v>61</v>
      </c>
      <c r="P62" t="s">
        <v>275</v>
      </c>
      <c r="Q62" t="s">
        <v>274</v>
      </c>
      <c r="R62" t="s">
        <v>276</v>
      </c>
    </row>
    <row r="63" spans="1:18" x14ac:dyDescent="0.25">
      <c r="A63">
        <v>62</v>
      </c>
      <c r="B63" t="s">
        <v>105</v>
      </c>
      <c r="C63" t="str">
        <f t="shared" si="0"/>
        <v>T-65</v>
      </c>
      <c r="D63" t="s">
        <v>82</v>
      </c>
      <c r="E63" t="str">
        <f t="shared" si="1"/>
        <v>T-99</v>
      </c>
      <c r="F63" t="s">
        <v>74</v>
      </c>
      <c r="G63" t="s">
        <v>74</v>
      </c>
      <c r="H63" t="s">
        <v>72</v>
      </c>
      <c r="I63" s="1">
        <v>46199</v>
      </c>
      <c r="J63" t="s">
        <v>110</v>
      </c>
      <c r="K63" t="s">
        <v>81</v>
      </c>
      <c r="O63">
        <v>62</v>
      </c>
      <c r="P63" t="s">
        <v>28</v>
      </c>
      <c r="Q63" t="s">
        <v>277</v>
      </c>
      <c r="R63" t="s">
        <v>278</v>
      </c>
    </row>
    <row r="64" spans="1:18" x14ac:dyDescent="0.25">
      <c r="A64">
        <v>63</v>
      </c>
      <c r="B64" t="s">
        <v>102</v>
      </c>
      <c r="C64" t="str">
        <f t="shared" si="0"/>
        <v>T-26</v>
      </c>
      <c r="D64" t="s">
        <v>99</v>
      </c>
      <c r="E64" t="str">
        <f t="shared" si="1"/>
        <v>T-38</v>
      </c>
      <c r="F64" t="s">
        <v>61</v>
      </c>
      <c r="G64" t="s">
        <v>60</v>
      </c>
      <c r="H64" t="s">
        <v>59</v>
      </c>
      <c r="I64" s="1">
        <v>46199</v>
      </c>
      <c r="J64" t="s">
        <v>104</v>
      </c>
      <c r="K64" t="s">
        <v>81</v>
      </c>
      <c r="O64">
        <v>63</v>
      </c>
      <c r="P64" t="s">
        <v>120</v>
      </c>
      <c r="Q64" t="s">
        <v>279</v>
      </c>
      <c r="R64" t="s">
        <v>280</v>
      </c>
    </row>
    <row r="65" spans="1:18" x14ac:dyDescent="0.25">
      <c r="A65">
        <v>64</v>
      </c>
      <c r="B65" t="s">
        <v>100</v>
      </c>
      <c r="C65" t="str">
        <f t="shared" si="0"/>
        <v>T-49</v>
      </c>
      <c r="D65" t="s">
        <v>101</v>
      </c>
      <c r="E65" t="str">
        <f t="shared" si="1"/>
        <v>T-06</v>
      </c>
      <c r="F65" t="s">
        <v>14</v>
      </c>
      <c r="G65" t="s">
        <v>90</v>
      </c>
      <c r="H65" t="s">
        <v>71</v>
      </c>
      <c r="I65" s="1">
        <v>46199</v>
      </c>
      <c r="J65" t="s">
        <v>104</v>
      </c>
      <c r="K65" t="s">
        <v>81</v>
      </c>
      <c r="O65">
        <v>64</v>
      </c>
      <c r="P65" t="s">
        <v>88</v>
      </c>
      <c r="Q65" t="s">
        <v>281</v>
      </c>
      <c r="R65" t="s">
        <v>282</v>
      </c>
    </row>
    <row r="66" spans="1:18" x14ac:dyDescent="0.25">
      <c r="A66">
        <v>65</v>
      </c>
      <c r="B66" t="s">
        <v>98</v>
      </c>
      <c r="C66" t="str">
        <f t="shared" si="0"/>
        <v>T-90</v>
      </c>
      <c r="D66" t="s">
        <v>120</v>
      </c>
      <c r="E66" t="str">
        <f t="shared" si="1"/>
        <v>T-63</v>
      </c>
      <c r="F66" t="s">
        <v>49</v>
      </c>
      <c r="G66" t="s">
        <v>49</v>
      </c>
      <c r="H66" t="s">
        <v>47</v>
      </c>
      <c r="I66" s="1">
        <v>46199</v>
      </c>
      <c r="J66" t="s">
        <v>103</v>
      </c>
      <c r="K66" t="s">
        <v>81</v>
      </c>
      <c r="O66">
        <v>65</v>
      </c>
      <c r="P66" t="s">
        <v>105</v>
      </c>
      <c r="Q66" t="s">
        <v>283</v>
      </c>
      <c r="R66" t="s">
        <v>284</v>
      </c>
    </row>
    <row r="67" spans="1:18" x14ac:dyDescent="0.25">
      <c r="A67">
        <v>66</v>
      </c>
      <c r="B67" t="s">
        <v>43</v>
      </c>
      <c r="C67" t="str">
        <f t="shared" ref="C67:C105" si="2">IFERROR(VLOOKUP(B67,$P$2:$Q$93,2,FALSE), "T-99")</f>
        <v>T-84</v>
      </c>
      <c r="D67" t="s">
        <v>31</v>
      </c>
      <c r="E67" t="str">
        <f t="shared" ref="E67:E105" si="3">IFERROR(VLOOKUP(D67,$P$2:$Q$93,2,FALSE), "T-99")</f>
        <v>T-73</v>
      </c>
      <c r="F67" t="s">
        <v>22</v>
      </c>
      <c r="G67" t="s">
        <v>22</v>
      </c>
      <c r="H67" t="s">
        <v>76</v>
      </c>
      <c r="I67" s="1">
        <v>46199</v>
      </c>
      <c r="J67" t="s">
        <v>103</v>
      </c>
      <c r="K67" t="s">
        <v>81</v>
      </c>
      <c r="O67">
        <v>66</v>
      </c>
      <c r="P67" t="s">
        <v>286</v>
      </c>
      <c r="Q67" t="s">
        <v>285</v>
      </c>
      <c r="R67" t="s">
        <v>287</v>
      </c>
    </row>
    <row r="68" spans="1:18" x14ac:dyDescent="0.25">
      <c r="A68">
        <v>67</v>
      </c>
      <c r="B68" t="s">
        <v>113</v>
      </c>
      <c r="C68" t="str">
        <f t="shared" si="2"/>
        <v>T-54</v>
      </c>
      <c r="D68" t="s">
        <v>17</v>
      </c>
      <c r="E68" t="str">
        <f t="shared" si="3"/>
        <v>T-28</v>
      </c>
      <c r="F68" t="s">
        <v>425</v>
      </c>
      <c r="G68" t="s">
        <v>54</v>
      </c>
      <c r="H68" t="s">
        <v>53</v>
      </c>
      <c r="I68" s="1">
        <v>46200</v>
      </c>
      <c r="J68" t="s">
        <v>118</v>
      </c>
      <c r="K68" t="s">
        <v>81</v>
      </c>
      <c r="O68">
        <v>67</v>
      </c>
      <c r="P68" t="s">
        <v>289</v>
      </c>
      <c r="Q68" t="s">
        <v>288</v>
      </c>
      <c r="R68" t="s">
        <v>290</v>
      </c>
    </row>
    <row r="69" spans="1:18" x14ac:dyDescent="0.25">
      <c r="A69">
        <v>68</v>
      </c>
      <c r="B69" t="s">
        <v>114</v>
      </c>
      <c r="C69" t="str">
        <f t="shared" si="2"/>
        <v>T-18</v>
      </c>
      <c r="D69" t="s">
        <v>112</v>
      </c>
      <c r="E69" t="str">
        <f t="shared" si="3"/>
        <v>T-32</v>
      </c>
      <c r="F69" t="s">
        <v>42</v>
      </c>
      <c r="G69" t="s">
        <v>42</v>
      </c>
      <c r="H69" t="s">
        <v>58</v>
      </c>
      <c r="I69" s="1">
        <v>46200</v>
      </c>
      <c r="J69" t="s">
        <v>118</v>
      </c>
      <c r="K69" t="s">
        <v>81</v>
      </c>
      <c r="O69">
        <v>68</v>
      </c>
      <c r="P69" t="s">
        <v>292</v>
      </c>
      <c r="Q69" t="s">
        <v>291</v>
      </c>
      <c r="R69" t="s">
        <v>293</v>
      </c>
    </row>
    <row r="70" spans="1:18" x14ac:dyDescent="0.25">
      <c r="A70">
        <v>69</v>
      </c>
      <c r="B70" t="s">
        <v>107</v>
      </c>
      <c r="C70" t="str">
        <f t="shared" si="2"/>
        <v>T-01</v>
      </c>
      <c r="D70" t="s">
        <v>108</v>
      </c>
      <c r="E70" t="str">
        <f t="shared" si="3"/>
        <v>T-05</v>
      </c>
      <c r="F70" t="s">
        <v>67</v>
      </c>
      <c r="G70" t="s">
        <v>67</v>
      </c>
      <c r="H70" t="s">
        <v>65</v>
      </c>
      <c r="I70" s="1">
        <v>46200</v>
      </c>
      <c r="J70" t="s">
        <v>111</v>
      </c>
      <c r="K70" t="s">
        <v>81</v>
      </c>
      <c r="O70">
        <v>69</v>
      </c>
      <c r="P70" t="s">
        <v>295</v>
      </c>
      <c r="Q70" t="s">
        <v>294</v>
      </c>
      <c r="R70" t="s">
        <v>296</v>
      </c>
    </row>
    <row r="71" spans="1:18" x14ac:dyDescent="0.25">
      <c r="A71">
        <v>70</v>
      </c>
      <c r="B71" t="s">
        <v>109</v>
      </c>
      <c r="C71" t="str">
        <f t="shared" si="2"/>
        <v>T-91</v>
      </c>
      <c r="D71" t="s">
        <v>10</v>
      </c>
      <c r="E71" t="str">
        <f t="shared" si="3"/>
        <v>T-03</v>
      </c>
      <c r="F71" t="s">
        <v>36</v>
      </c>
      <c r="G71" t="s">
        <v>45</v>
      </c>
      <c r="H71" t="s">
        <v>44</v>
      </c>
      <c r="I71" s="1">
        <v>46200</v>
      </c>
      <c r="J71" t="s">
        <v>111</v>
      </c>
      <c r="K71" t="s">
        <v>81</v>
      </c>
      <c r="O71">
        <v>70</v>
      </c>
      <c r="P71" t="s">
        <v>29</v>
      </c>
      <c r="Q71" t="s">
        <v>297</v>
      </c>
      <c r="R71" t="s">
        <v>298</v>
      </c>
    </row>
    <row r="72" spans="1:18" x14ac:dyDescent="0.25">
      <c r="A72">
        <v>71</v>
      </c>
      <c r="B72" t="s">
        <v>117</v>
      </c>
      <c r="C72" t="str">
        <f t="shared" si="2"/>
        <v>T-16</v>
      </c>
      <c r="D72" t="s">
        <v>115</v>
      </c>
      <c r="E72" t="str">
        <f t="shared" si="3"/>
        <v>T-58</v>
      </c>
      <c r="F72" t="s">
        <v>431</v>
      </c>
      <c r="G72" t="s">
        <v>69</v>
      </c>
      <c r="H72" t="s">
        <v>68</v>
      </c>
      <c r="I72" s="1">
        <v>46200</v>
      </c>
      <c r="J72" t="s">
        <v>119</v>
      </c>
      <c r="K72" t="s">
        <v>81</v>
      </c>
      <c r="O72">
        <v>71</v>
      </c>
      <c r="P72" t="s">
        <v>30</v>
      </c>
      <c r="Q72" t="s">
        <v>299</v>
      </c>
      <c r="R72" t="s">
        <v>300</v>
      </c>
    </row>
    <row r="73" spans="1:18" x14ac:dyDescent="0.25">
      <c r="A73">
        <v>72</v>
      </c>
      <c r="B73" t="s">
        <v>82</v>
      </c>
      <c r="C73" t="str">
        <f t="shared" si="2"/>
        <v>T-99</v>
      </c>
      <c r="D73" t="s">
        <v>116</v>
      </c>
      <c r="E73" t="str">
        <f t="shared" si="3"/>
        <v>T-92</v>
      </c>
      <c r="F73" t="s">
        <v>57</v>
      </c>
      <c r="G73" t="s">
        <v>57</v>
      </c>
      <c r="H73" t="s">
        <v>55</v>
      </c>
      <c r="I73" s="1">
        <v>46200</v>
      </c>
      <c r="J73" t="s">
        <v>119</v>
      </c>
      <c r="K73" t="s">
        <v>81</v>
      </c>
      <c r="O73">
        <v>72</v>
      </c>
      <c r="P73" t="s">
        <v>302</v>
      </c>
      <c r="Q73" t="s">
        <v>301</v>
      </c>
      <c r="R73" t="s">
        <v>303</v>
      </c>
    </row>
    <row r="74" spans="1:18" x14ac:dyDescent="0.25">
      <c r="A74">
        <v>73</v>
      </c>
      <c r="B74" t="s">
        <v>355</v>
      </c>
      <c r="C74" t="str">
        <f t="shared" si="2"/>
        <v>T-99</v>
      </c>
      <c r="D74" t="s">
        <v>356</v>
      </c>
      <c r="E74" t="str">
        <f t="shared" si="3"/>
        <v>T-99</v>
      </c>
      <c r="F74" t="s">
        <v>40</v>
      </c>
      <c r="G74" t="s">
        <v>51</v>
      </c>
      <c r="H74" t="s">
        <v>50</v>
      </c>
      <c r="I74" s="1">
        <v>46201</v>
      </c>
      <c r="K74" t="s">
        <v>357</v>
      </c>
      <c r="O74">
        <v>73</v>
      </c>
      <c r="P74" t="s">
        <v>31</v>
      </c>
      <c r="Q74" t="s">
        <v>304</v>
      </c>
      <c r="R74" t="s">
        <v>305</v>
      </c>
    </row>
    <row r="75" spans="1:18" x14ac:dyDescent="0.25">
      <c r="A75">
        <v>74</v>
      </c>
      <c r="B75" t="s">
        <v>358</v>
      </c>
      <c r="C75" t="str">
        <f t="shared" si="2"/>
        <v>T-99</v>
      </c>
      <c r="D75" t="s">
        <v>359</v>
      </c>
      <c r="E75" t="str">
        <f t="shared" si="3"/>
        <v>T-99</v>
      </c>
      <c r="F75" t="s">
        <v>34</v>
      </c>
      <c r="G75" t="s">
        <v>424</v>
      </c>
      <c r="H75" t="s">
        <v>64</v>
      </c>
      <c r="I75" s="1">
        <v>46202</v>
      </c>
      <c r="K75" t="s">
        <v>357</v>
      </c>
      <c r="O75">
        <v>74</v>
      </c>
      <c r="P75" t="s">
        <v>32</v>
      </c>
      <c r="Q75" t="s">
        <v>306</v>
      </c>
      <c r="R75" t="s">
        <v>307</v>
      </c>
    </row>
    <row r="76" spans="1:18" x14ac:dyDescent="0.25">
      <c r="A76">
        <v>75</v>
      </c>
      <c r="B76" t="s">
        <v>365</v>
      </c>
      <c r="C76" t="str">
        <f t="shared" si="2"/>
        <v>T-99</v>
      </c>
      <c r="D76" t="s">
        <v>366</v>
      </c>
      <c r="E76" t="str">
        <f t="shared" si="3"/>
        <v>T-99</v>
      </c>
      <c r="F76" t="s">
        <v>26</v>
      </c>
      <c r="G76" t="s">
        <v>26</v>
      </c>
      <c r="H76" t="s">
        <v>78</v>
      </c>
      <c r="I76" s="1">
        <v>46202</v>
      </c>
      <c r="K76" t="s">
        <v>357</v>
      </c>
      <c r="O76">
        <v>75</v>
      </c>
      <c r="P76" t="s">
        <v>33</v>
      </c>
      <c r="Q76" t="s">
        <v>308</v>
      </c>
      <c r="R76" t="s">
        <v>309</v>
      </c>
    </row>
    <row r="77" spans="1:18" x14ac:dyDescent="0.25">
      <c r="A77">
        <v>76</v>
      </c>
      <c r="B77" t="s">
        <v>367</v>
      </c>
      <c r="C77" t="str">
        <f t="shared" si="2"/>
        <v>T-99</v>
      </c>
      <c r="D77" t="s">
        <v>368</v>
      </c>
      <c r="E77" t="str">
        <f t="shared" si="3"/>
        <v>T-99</v>
      </c>
      <c r="F77" t="s">
        <v>49</v>
      </c>
      <c r="G77" t="s">
        <v>49</v>
      </c>
      <c r="H77" t="s">
        <v>47</v>
      </c>
      <c r="I77" s="1">
        <v>46202</v>
      </c>
      <c r="K77" t="s">
        <v>357</v>
      </c>
      <c r="O77">
        <v>76</v>
      </c>
      <c r="P77" t="s">
        <v>311</v>
      </c>
      <c r="Q77" t="s">
        <v>310</v>
      </c>
      <c r="R77" t="s">
        <v>312</v>
      </c>
    </row>
    <row r="78" spans="1:18" x14ac:dyDescent="0.25">
      <c r="A78">
        <v>77</v>
      </c>
      <c r="B78" t="s">
        <v>369</v>
      </c>
      <c r="C78" t="str">
        <f t="shared" si="2"/>
        <v>T-99</v>
      </c>
      <c r="D78" t="s">
        <v>370</v>
      </c>
      <c r="E78" t="str">
        <f t="shared" si="3"/>
        <v>T-99</v>
      </c>
      <c r="F78" t="s">
        <v>425</v>
      </c>
      <c r="G78" t="s">
        <v>54</v>
      </c>
      <c r="H78" t="s">
        <v>53</v>
      </c>
      <c r="I78" s="1">
        <v>46203</v>
      </c>
      <c r="K78" t="s">
        <v>357</v>
      </c>
      <c r="O78">
        <v>77</v>
      </c>
      <c r="P78" t="s">
        <v>314</v>
      </c>
      <c r="Q78" t="s">
        <v>313</v>
      </c>
      <c r="R78" t="s">
        <v>315</v>
      </c>
    </row>
    <row r="79" spans="1:18" x14ac:dyDescent="0.25">
      <c r="A79">
        <v>78</v>
      </c>
      <c r="B79" t="s">
        <v>371</v>
      </c>
      <c r="C79" t="str">
        <f t="shared" si="2"/>
        <v>T-99</v>
      </c>
      <c r="D79" t="s">
        <v>372</v>
      </c>
      <c r="E79" t="str">
        <f t="shared" si="3"/>
        <v>T-99</v>
      </c>
      <c r="F79" t="s">
        <v>36</v>
      </c>
      <c r="G79" t="s">
        <v>45</v>
      </c>
      <c r="H79" t="s">
        <v>44</v>
      </c>
      <c r="I79" s="1">
        <v>46203</v>
      </c>
      <c r="K79" t="s">
        <v>357</v>
      </c>
      <c r="O79">
        <v>78</v>
      </c>
      <c r="P79" t="s">
        <v>317</v>
      </c>
      <c r="Q79" t="s">
        <v>316</v>
      </c>
      <c r="R79" t="s">
        <v>318</v>
      </c>
    </row>
    <row r="80" spans="1:18" x14ac:dyDescent="0.25">
      <c r="A80">
        <v>79</v>
      </c>
      <c r="B80" t="s">
        <v>373</v>
      </c>
      <c r="C80" t="str">
        <f t="shared" si="2"/>
        <v>T-99</v>
      </c>
      <c r="D80" t="s">
        <v>374</v>
      </c>
      <c r="E80" t="str">
        <f t="shared" si="3"/>
        <v>T-99</v>
      </c>
      <c r="F80" t="s">
        <v>25</v>
      </c>
      <c r="G80" t="s">
        <v>25</v>
      </c>
      <c r="H80" t="s">
        <v>75</v>
      </c>
      <c r="I80" s="1">
        <v>46203</v>
      </c>
      <c r="K80" t="s">
        <v>357</v>
      </c>
      <c r="O80">
        <v>79</v>
      </c>
      <c r="P80" t="s">
        <v>95</v>
      </c>
      <c r="Q80" t="s">
        <v>319</v>
      </c>
      <c r="R80" t="s">
        <v>320</v>
      </c>
    </row>
    <row r="81" spans="1:18" x14ac:dyDescent="0.25">
      <c r="A81">
        <v>80</v>
      </c>
      <c r="B81" t="s">
        <v>375</v>
      </c>
      <c r="C81" t="str">
        <f t="shared" si="2"/>
        <v>T-99</v>
      </c>
      <c r="D81" t="s">
        <v>376</v>
      </c>
      <c r="E81" t="str">
        <f t="shared" si="3"/>
        <v>T-99</v>
      </c>
      <c r="F81" t="s">
        <v>57</v>
      </c>
      <c r="G81" t="s">
        <v>57</v>
      </c>
      <c r="H81" t="s">
        <v>55</v>
      </c>
      <c r="I81" s="1">
        <v>46204</v>
      </c>
      <c r="K81" t="s">
        <v>357</v>
      </c>
      <c r="O81">
        <v>80</v>
      </c>
      <c r="P81" t="s">
        <v>322</v>
      </c>
      <c r="Q81" t="s">
        <v>321</v>
      </c>
      <c r="R81" t="s">
        <v>323</v>
      </c>
    </row>
    <row r="82" spans="1:18" x14ac:dyDescent="0.25">
      <c r="A82">
        <v>81</v>
      </c>
      <c r="B82" t="s">
        <v>377</v>
      </c>
      <c r="C82" t="str">
        <f t="shared" si="2"/>
        <v>T-99</v>
      </c>
      <c r="D82" t="s">
        <v>378</v>
      </c>
      <c r="E82" t="str">
        <f t="shared" si="3"/>
        <v>T-99</v>
      </c>
      <c r="F82" t="s">
        <v>427</v>
      </c>
      <c r="G82" t="s">
        <v>426</v>
      </c>
      <c r="H82" t="s">
        <v>62</v>
      </c>
      <c r="I82" s="1">
        <v>46204</v>
      </c>
      <c r="K82" t="s">
        <v>357</v>
      </c>
      <c r="O82">
        <v>81</v>
      </c>
      <c r="P82" t="s">
        <v>325</v>
      </c>
      <c r="Q82" t="s">
        <v>324</v>
      </c>
      <c r="R82" t="s">
        <v>326</v>
      </c>
    </row>
    <row r="83" spans="1:18" x14ac:dyDescent="0.25">
      <c r="A83">
        <v>82</v>
      </c>
      <c r="B83" t="s">
        <v>379</v>
      </c>
      <c r="C83" t="str">
        <f t="shared" si="2"/>
        <v>T-99</v>
      </c>
      <c r="D83" t="s">
        <v>380</v>
      </c>
      <c r="E83" t="str">
        <f t="shared" si="3"/>
        <v>T-99</v>
      </c>
      <c r="F83" t="s">
        <v>61</v>
      </c>
      <c r="G83" t="s">
        <v>60</v>
      </c>
      <c r="H83" t="s">
        <v>59</v>
      </c>
      <c r="I83" s="1">
        <v>46204</v>
      </c>
      <c r="K83" t="s">
        <v>357</v>
      </c>
      <c r="O83">
        <v>82</v>
      </c>
      <c r="P83" t="s">
        <v>328</v>
      </c>
      <c r="Q83" t="s">
        <v>327</v>
      </c>
      <c r="R83" t="s">
        <v>329</v>
      </c>
    </row>
    <row r="84" spans="1:18" x14ac:dyDescent="0.25">
      <c r="A84">
        <v>83</v>
      </c>
      <c r="B84" t="s">
        <v>381</v>
      </c>
      <c r="C84" t="str">
        <f t="shared" si="2"/>
        <v>T-99</v>
      </c>
      <c r="D84" t="s">
        <v>382</v>
      </c>
      <c r="E84" t="str">
        <f t="shared" si="3"/>
        <v>T-99</v>
      </c>
      <c r="F84" t="s">
        <v>74</v>
      </c>
      <c r="G84" t="s">
        <v>74</v>
      </c>
      <c r="H84" t="s">
        <v>72</v>
      </c>
      <c r="I84" s="1">
        <v>46205</v>
      </c>
      <c r="K84" t="s">
        <v>357</v>
      </c>
      <c r="O84">
        <v>83</v>
      </c>
      <c r="P84" t="s">
        <v>35</v>
      </c>
      <c r="Q84" t="s">
        <v>330</v>
      </c>
      <c r="R84" t="s">
        <v>83</v>
      </c>
    </row>
    <row r="85" spans="1:18" x14ac:dyDescent="0.25">
      <c r="A85">
        <v>84</v>
      </c>
      <c r="B85" t="s">
        <v>383</v>
      </c>
      <c r="C85" t="str">
        <f t="shared" si="2"/>
        <v>T-99</v>
      </c>
      <c r="D85" t="s">
        <v>384</v>
      </c>
      <c r="E85" t="str">
        <f t="shared" si="3"/>
        <v>T-99</v>
      </c>
      <c r="F85" t="s">
        <v>40</v>
      </c>
      <c r="G85" t="s">
        <v>51</v>
      </c>
      <c r="H85" t="s">
        <v>50</v>
      </c>
      <c r="I85" s="1">
        <v>46205</v>
      </c>
      <c r="K85" t="s">
        <v>357</v>
      </c>
      <c r="O85">
        <v>84</v>
      </c>
      <c r="P85" t="s">
        <v>43</v>
      </c>
      <c r="Q85" t="s">
        <v>331</v>
      </c>
      <c r="R85" t="s">
        <v>332</v>
      </c>
    </row>
    <row r="86" spans="1:18" x14ac:dyDescent="0.25">
      <c r="A86">
        <v>85</v>
      </c>
      <c r="B86" t="s">
        <v>385</v>
      </c>
      <c r="C86" t="str">
        <f t="shared" si="2"/>
        <v>T-99</v>
      </c>
      <c r="D86" t="s">
        <v>387</v>
      </c>
      <c r="E86" t="str">
        <f t="shared" si="3"/>
        <v>T-99</v>
      </c>
      <c r="F86" t="s">
        <v>14</v>
      </c>
      <c r="G86" t="s">
        <v>90</v>
      </c>
      <c r="H86" t="s">
        <v>71</v>
      </c>
      <c r="I86" s="1">
        <v>46205</v>
      </c>
      <c r="K86" t="s">
        <v>357</v>
      </c>
      <c r="O86">
        <v>85</v>
      </c>
      <c r="P86" t="s">
        <v>334</v>
      </c>
      <c r="Q86" t="s">
        <v>333</v>
      </c>
      <c r="R86" t="s">
        <v>335</v>
      </c>
    </row>
    <row r="87" spans="1:18" x14ac:dyDescent="0.25">
      <c r="A87">
        <v>86</v>
      </c>
      <c r="B87" t="s">
        <v>388</v>
      </c>
      <c r="C87" t="str">
        <f t="shared" si="2"/>
        <v>T-99</v>
      </c>
      <c r="D87" t="s">
        <v>389</v>
      </c>
      <c r="E87" t="str">
        <f t="shared" si="3"/>
        <v>T-99</v>
      </c>
      <c r="F87" t="s">
        <v>431</v>
      </c>
      <c r="G87" t="s">
        <v>69</v>
      </c>
      <c r="H87" t="s">
        <v>68</v>
      </c>
      <c r="I87" s="1">
        <v>46206</v>
      </c>
      <c r="K87" t="s">
        <v>357</v>
      </c>
      <c r="O87">
        <v>86</v>
      </c>
      <c r="P87" t="s">
        <v>337</v>
      </c>
      <c r="Q87" t="s">
        <v>336</v>
      </c>
      <c r="R87" t="s">
        <v>200</v>
      </c>
    </row>
    <row r="88" spans="1:18" x14ac:dyDescent="0.25">
      <c r="A88">
        <v>87</v>
      </c>
      <c r="B88" t="s">
        <v>386</v>
      </c>
      <c r="C88" t="str">
        <f t="shared" si="2"/>
        <v>T-99</v>
      </c>
      <c r="D88" t="s">
        <v>390</v>
      </c>
      <c r="E88" t="str">
        <f t="shared" si="3"/>
        <v>T-99</v>
      </c>
      <c r="F88" t="s">
        <v>67</v>
      </c>
      <c r="G88" t="s">
        <v>67</v>
      </c>
      <c r="H88" t="s">
        <v>65</v>
      </c>
      <c r="I88" s="1">
        <v>46206</v>
      </c>
      <c r="K88" t="s">
        <v>357</v>
      </c>
      <c r="O88">
        <v>87</v>
      </c>
      <c r="P88" t="s">
        <v>339</v>
      </c>
      <c r="Q88" t="s">
        <v>338</v>
      </c>
      <c r="R88" t="s">
        <v>340</v>
      </c>
    </row>
    <row r="89" spans="1:18" x14ac:dyDescent="0.25">
      <c r="A89">
        <v>88</v>
      </c>
      <c r="B89" t="s">
        <v>391</v>
      </c>
      <c r="C89" t="str">
        <f t="shared" si="2"/>
        <v>T-99</v>
      </c>
      <c r="D89" t="s">
        <v>392</v>
      </c>
      <c r="E89" t="str">
        <f t="shared" si="3"/>
        <v>T-99</v>
      </c>
      <c r="F89" t="s">
        <v>36</v>
      </c>
      <c r="G89" t="s">
        <v>45</v>
      </c>
      <c r="H89" t="s">
        <v>44</v>
      </c>
      <c r="I89" s="1">
        <v>46206</v>
      </c>
      <c r="K89" t="s">
        <v>357</v>
      </c>
      <c r="O89">
        <v>88</v>
      </c>
      <c r="P89" t="s">
        <v>342</v>
      </c>
      <c r="Q89" t="s">
        <v>341</v>
      </c>
      <c r="R89" t="s">
        <v>343</v>
      </c>
    </row>
    <row r="90" spans="1:18" x14ac:dyDescent="0.25">
      <c r="A90">
        <v>89</v>
      </c>
      <c r="B90" t="s">
        <v>393</v>
      </c>
      <c r="C90" t="str">
        <f t="shared" si="2"/>
        <v>T-99</v>
      </c>
      <c r="D90" t="s">
        <v>394</v>
      </c>
      <c r="E90" t="str">
        <f t="shared" si="3"/>
        <v>T-99</v>
      </c>
      <c r="F90" t="s">
        <v>42</v>
      </c>
      <c r="G90" t="s">
        <v>42</v>
      </c>
      <c r="H90" t="s">
        <v>58</v>
      </c>
      <c r="I90" s="1">
        <v>46207</v>
      </c>
      <c r="K90" t="s">
        <v>360</v>
      </c>
      <c r="O90">
        <v>89</v>
      </c>
      <c r="P90" t="s">
        <v>345</v>
      </c>
      <c r="Q90" t="s">
        <v>344</v>
      </c>
      <c r="R90" t="s">
        <v>346</v>
      </c>
    </row>
    <row r="91" spans="1:18" x14ac:dyDescent="0.25">
      <c r="A91">
        <v>90</v>
      </c>
      <c r="B91" t="s">
        <v>395</v>
      </c>
      <c r="C91" t="str">
        <f t="shared" si="2"/>
        <v>T-99</v>
      </c>
      <c r="D91" t="s">
        <v>396</v>
      </c>
      <c r="E91" t="str">
        <f t="shared" si="3"/>
        <v>T-99</v>
      </c>
      <c r="F91" t="s">
        <v>49</v>
      </c>
      <c r="G91" t="s">
        <v>49</v>
      </c>
      <c r="H91" t="s">
        <v>47</v>
      </c>
      <c r="I91" s="1">
        <v>46207</v>
      </c>
      <c r="K91" t="s">
        <v>360</v>
      </c>
      <c r="O91">
        <v>90</v>
      </c>
      <c r="P91" t="s">
        <v>98</v>
      </c>
      <c r="Q91" t="s">
        <v>347</v>
      </c>
      <c r="R91" t="s">
        <v>348</v>
      </c>
    </row>
    <row r="92" spans="1:18" x14ac:dyDescent="0.25">
      <c r="A92">
        <v>91</v>
      </c>
      <c r="B92" t="s">
        <v>398</v>
      </c>
      <c r="C92" t="str">
        <f t="shared" si="2"/>
        <v>T-99</v>
      </c>
      <c r="D92" t="s">
        <v>397</v>
      </c>
      <c r="E92" t="str">
        <f t="shared" si="3"/>
        <v>T-99</v>
      </c>
      <c r="F92" t="s">
        <v>425</v>
      </c>
      <c r="G92" t="s">
        <v>54</v>
      </c>
      <c r="H92" t="s">
        <v>53</v>
      </c>
      <c r="I92" s="1">
        <v>46208</v>
      </c>
      <c r="K92" t="s">
        <v>360</v>
      </c>
      <c r="O92">
        <v>91</v>
      </c>
      <c r="P92" t="s">
        <v>109</v>
      </c>
      <c r="Q92" t="s">
        <v>349</v>
      </c>
      <c r="R92" t="s">
        <v>350</v>
      </c>
    </row>
    <row r="93" spans="1:18" x14ac:dyDescent="0.25">
      <c r="A93">
        <v>92</v>
      </c>
      <c r="B93" t="s">
        <v>399</v>
      </c>
      <c r="C93" t="str">
        <f t="shared" si="2"/>
        <v>T-99</v>
      </c>
      <c r="D93" t="s">
        <v>400</v>
      </c>
      <c r="E93" t="str">
        <f t="shared" si="3"/>
        <v>T-99</v>
      </c>
      <c r="F93" t="s">
        <v>25</v>
      </c>
      <c r="G93" t="s">
        <v>25</v>
      </c>
      <c r="H93" t="s">
        <v>75</v>
      </c>
      <c r="I93" s="1">
        <v>46208</v>
      </c>
      <c r="K93" t="s">
        <v>360</v>
      </c>
      <c r="O93">
        <v>92</v>
      </c>
      <c r="P93" t="s">
        <v>116</v>
      </c>
      <c r="Q93" t="s">
        <v>351</v>
      </c>
      <c r="R93" t="s">
        <v>352</v>
      </c>
    </row>
    <row r="94" spans="1:18" x14ac:dyDescent="0.25">
      <c r="A94">
        <v>93</v>
      </c>
      <c r="B94" t="s">
        <v>402</v>
      </c>
      <c r="C94" t="str">
        <f t="shared" si="2"/>
        <v>T-99</v>
      </c>
      <c r="D94" t="s">
        <v>401</v>
      </c>
      <c r="E94" t="str">
        <f t="shared" si="3"/>
        <v>T-99</v>
      </c>
      <c r="F94" t="s">
        <v>36</v>
      </c>
      <c r="G94" t="s">
        <v>45</v>
      </c>
      <c r="H94" t="s">
        <v>44</v>
      </c>
      <c r="I94" s="1">
        <v>46209</v>
      </c>
      <c r="K94" t="s">
        <v>360</v>
      </c>
      <c r="O94">
        <v>93</v>
      </c>
      <c r="P94" t="s">
        <v>82</v>
      </c>
      <c r="Q94" t="s">
        <v>432</v>
      </c>
      <c r="R94" t="s">
        <v>82</v>
      </c>
    </row>
    <row r="95" spans="1:18" x14ac:dyDescent="0.25">
      <c r="A95">
        <v>94</v>
      </c>
      <c r="B95" t="s">
        <v>403</v>
      </c>
      <c r="C95" t="str">
        <f t="shared" si="2"/>
        <v>T-99</v>
      </c>
      <c r="D95" t="s">
        <v>404</v>
      </c>
      <c r="E95" t="str">
        <f t="shared" si="3"/>
        <v>T-99</v>
      </c>
      <c r="F95" t="s">
        <v>61</v>
      </c>
      <c r="G95" t="s">
        <v>60</v>
      </c>
      <c r="H95" t="s">
        <v>59</v>
      </c>
      <c r="I95" s="1">
        <v>46209</v>
      </c>
      <c r="K95" t="s">
        <v>360</v>
      </c>
    </row>
    <row r="96" spans="1:18" x14ac:dyDescent="0.25">
      <c r="A96">
        <v>95</v>
      </c>
      <c r="B96" t="s">
        <v>405</v>
      </c>
      <c r="C96" t="str">
        <f t="shared" si="2"/>
        <v>T-99</v>
      </c>
      <c r="D96" t="s">
        <v>414</v>
      </c>
      <c r="E96" t="str">
        <f t="shared" si="3"/>
        <v>T-99</v>
      </c>
      <c r="F96" t="s">
        <v>57</v>
      </c>
      <c r="G96" t="s">
        <v>57</v>
      </c>
      <c r="H96" t="s">
        <v>55</v>
      </c>
      <c r="I96" s="1">
        <v>46210</v>
      </c>
      <c r="K96" t="s">
        <v>360</v>
      </c>
    </row>
    <row r="97" spans="1:11" x14ac:dyDescent="0.25">
      <c r="A97">
        <v>96</v>
      </c>
      <c r="B97" t="s">
        <v>406</v>
      </c>
      <c r="C97" t="str">
        <f t="shared" si="2"/>
        <v>T-99</v>
      </c>
      <c r="D97" t="s">
        <v>415</v>
      </c>
      <c r="E97" t="str">
        <f t="shared" si="3"/>
        <v>T-99</v>
      </c>
      <c r="F97" t="s">
        <v>14</v>
      </c>
      <c r="G97" t="s">
        <v>90</v>
      </c>
      <c r="H97" t="s">
        <v>71</v>
      </c>
      <c r="I97" s="1">
        <v>46210</v>
      </c>
      <c r="K97" t="s">
        <v>360</v>
      </c>
    </row>
    <row r="98" spans="1:11" x14ac:dyDescent="0.25">
      <c r="A98">
        <v>97</v>
      </c>
      <c r="B98" t="s">
        <v>407</v>
      </c>
      <c r="C98" t="str">
        <f t="shared" si="2"/>
        <v>T-99</v>
      </c>
      <c r="D98" t="s">
        <v>416</v>
      </c>
      <c r="E98" t="str">
        <f t="shared" si="3"/>
        <v>T-99</v>
      </c>
      <c r="F98" t="s">
        <v>34</v>
      </c>
      <c r="G98" t="s">
        <v>424</v>
      </c>
      <c r="H98" t="s">
        <v>64</v>
      </c>
      <c r="I98" s="1">
        <v>46212</v>
      </c>
      <c r="K98" t="s">
        <v>361</v>
      </c>
    </row>
    <row r="99" spans="1:11" x14ac:dyDescent="0.25">
      <c r="A99">
        <v>98</v>
      </c>
      <c r="B99" t="s">
        <v>408</v>
      </c>
      <c r="C99" t="str">
        <f t="shared" si="2"/>
        <v>T-99</v>
      </c>
      <c r="D99" t="s">
        <v>417</v>
      </c>
      <c r="E99" t="str">
        <f t="shared" si="3"/>
        <v>T-99</v>
      </c>
      <c r="F99" t="s">
        <v>40</v>
      </c>
      <c r="G99" t="s">
        <v>51</v>
      </c>
      <c r="H99" t="s">
        <v>50</v>
      </c>
      <c r="I99" s="1">
        <v>46212</v>
      </c>
      <c r="K99" t="s">
        <v>361</v>
      </c>
    </row>
    <row r="100" spans="1:11" x14ac:dyDescent="0.25">
      <c r="A100">
        <v>99</v>
      </c>
      <c r="B100" t="s">
        <v>409</v>
      </c>
      <c r="C100" t="str">
        <f t="shared" si="2"/>
        <v>T-99</v>
      </c>
      <c r="D100" t="s">
        <v>418</v>
      </c>
      <c r="E100" t="str">
        <f t="shared" si="3"/>
        <v>T-99</v>
      </c>
      <c r="F100" t="s">
        <v>431</v>
      </c>
      <c r="G100" t="s">
        <v>69</v>
      </c>
      <c r="H100" t="s">
        <v>68</v>
      </c>
      <c r="I100" s="1">
        <v>46212</v>
      </c>
      <c r="K100" t="s">
        <v>361</v>
      </c>
    </row>
    <row r="101" spans="1:11" x14ac:dyDescent="0.25">
      <c r="A101">
        <v>100</v>
      </c>
      <c r="B101" t="s">
        <v>410</v>
      </c>
      <c r="C101" t="str">
        <f t="shared" si="2"/>
        <v>T-99</v>
      </c>
      <c r="D101" t="s">
        <v>419</v>
      </c>
      <c r="E101" t="str">
        <f t="shared" si="3"/>
        <v>T-99</v>
      </c>
      <c r="F101" t="s">
        <v>67</v>
      </c>
      <c r="G101" t="s">
        <v>67</v>
      </c>
      <c r="H101" t="s">
        <v>65</v>
      </c>
      <c r="I101" s="1">
        <v>46212</v>
      </c>
      <c r="K101" t="s">
        <v>361</v>
      </c>
    </row>
    <row r="102" spans="1:11" x14ac:dyDescent="0.25">
      <c r="A102">
        <v>101</v>
      </c>
      <c r="B102" t="s">
        <v>412</v>
      </c>
      <c r="C102" t="str">
        <f t="shared" si="2"/>
        <v>T-99</v>
      </c>
      <c r="D102" t="s">
        <v>420</v>
      </c>
      <c r="E102" t="str">
        <f t="shared" si="3"/>
        <v>T-99</v>
      </c>
      <c r="F102" t="s">
        <v>36</v>
      </c>
      <c r="G102" t="s">
        <v>45</v>
      </c>
      <c r="H102" t="s">
        <v>44</v>
      </c>
      <c r="I102" s="1">
        <v>46217</v>
      </c>
      <c r="K102" t="s">
        <v>362</v>
      </c>
    </row>
    <row r="103" spans="1:11" x14ac:dyDescent="0.25">
      <c r="A103">
        <v>102</v>
      </c>
      <c r="B103" t="s">
        <v>411</v>
      </c>
      <c r="C103" t="str">
        <f t="shared" si="2"/>
        <v>T-99</v>
      </c>
      <c r="D103" t="s">
        <v>421</v>
      </c>
      <c r="E103" t="str">
        <f t="shared" si="3"/>
        <v>T-99</v>
      </c>
      <c r="F103" t="s">
        <v>57</v>
      </c>
      <c r="G103" t="s">
        <v>57</v>
      </c>
      <c r="H103" t="s">
        <v>55</v>
      </c>
      <c r="I103" s="1">
        <v>46218</v>
      </c>
      <c r="K103" t="s">
        <v>362</v>
      </c>
    </row>
    <row r="104" spans="1:11" x14ac:dyDescent="0.25">
      <c r="A104">
        <v>103</v>
      </c>
      <c r="B104" t="s">
        <v>428</v>
      </c>
      <c r="C104" t="str">
        <f t="shared" si="2"/>
        <v>T-99</v>
      </c>
      <c r="D104" t="s">
        <v>429</v>
      </c>
      <c r="E104" t="str">
        <f t="shared" si="3"/>
        <v>T-99</v>
      </c>
      <c r="F104" t="s">
        <v>431</v>
      </c>
      <c r="G104" t="s">
        <v>69</v>
      </c>
      <c r="H104" t="s">
        <v>68</v>
      </c>
      <c r="I104" s="1">
        <v>46221</v>
      </c>
      <c r="K104" t="s">
        <v>363</v>
      </c>
    </row>
    <row r="105" spans="1:11" x14ac:dyDescent="0.25">
      <c r="A105">
        <v>104</v>
      </c>
      <c r="B105" t="s">
        <v>413</v>
      </c>
      <c r="C105" t="str">
        <f t="shared" si="2"/>
        <v>T-99</v>
      </c>
      <c r="D105" t="s">
        <v>430</v>
      </c>
      <c r="E105" t="str">
        <f t="shared" si="3"/>
        <v>T-99</v>
      </c>
      <c r="F105" t="s">
        <v>425</v>
      </c>
      <c r="G105" t="s">
        <v>54</v>
      </c>
      <c r="H105" t="s">
        <v>53</v>
      </c>
      <c r="I105" s="1">
        <v>46222</v>
      </c>
      <c r="K105" t="s">
        <v>364</v>
      </c>
    </row>
  </sheetData>
  <conditionalFormatting sqref="B2:B76 B78:B105">
    <cfRule type="cellIs" dxfId="4" priority="4" operator="equal">
      <formula>"TBC"</formula>
    </cfRule>
  </conditionalFormatting>
  <conditionalFormatting sqref="D2:D78 D80:D105">
    <cfRule type="cellIs" dxfId="3" priority="3" operator="equal">
      <formula>"tbc"</formula>
    </cfRule>
  </conditionalFormatting>
  <conditionalFormatting sqref="B77">
    <cfRule type="cellIs" dxfId="2" priority="2" operator="equal">
      <formula>"tbc"</formula>
    </cfRule>
  </conditionalFormatting>
  <conditionalFormatting sqref="D79">
    <cfRule type="cellIs" dxfId="1" priority="1" operator="equal">
      <formula>"TBC"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6286-8B19-4FA2-B95D-52CE8DC26BBC}">
  <dimension ref="A1:E17"/>
  <sheetViews>
    <sheetView workbookViewId="0">
      <selection activeCell="D8" sqref="D8"/>
    </sheetView>
  </sheetViews>
  <sheetFormatPr defaultRowHeight="15" x14ac:dyDescent="0.25"/>
  <cols>
    <col min="1" max="1" width="6.85546875" bestFit="1" customWidth="1"/>
    <col min="2" max="2" width="22.85546875" bestFit="1" customWidth="1"/>
    <col min="3" max="4" width="14.85546875" bestFit="1" customWidth="1"/>
    <col min="5" max="5" width="13.85546875" bestFit="1" customWidth="1"/>
  </cols>
  <sheetData>
    <row r="1" spans="1:5" x14ac:dyDescent="0.25">
      <c r="A1" t="s">
        <v>1</v>
      </c>
      <c r="B1" t="s">
        <v>2</v>
      </c>
      <c r="C1" t="s">
        <v>8</v>
      </c>
      <c r="D1" t="s">
        <v>0</v>
      </c>
      <c r="E1" t="s">
        <v>9</v>
      </c>
    </row>
    <row r="2" spans="1:5" x14ac:dyDescent="0.25">
      <c r="A2">
        <v>241</v>
      </c>
      <c r="B2" t="s">
        <v>45</v>
      </c>
      <c r="C2" t="s">
        <v>46</v>
      </c>
      <c r="D2" t="s">
        <v>44</v>
      </c>
      <c r="E2" t="s">
        <v>35</v>
      </c>
    </row>
    <row r="3" spans="1:5" x14ac:dyDescent="0.25">
      <c r="A3">
        <v>242</v>
      </c>
      <c r="B3" t="s">
        <v>48</v>
      </c>
      <c r="C3" t="s">
        <v>49</v>
      </c>
      <c r="D3" t="s">
        <v>47</v>
      </c>
      <c r="E3" t="s">
        <v>35</v>
      </c>
    </row>
    <row r="4" spans="1:5" x14ac:dyDescent="0.25">
      <c r="A4">
        <v>243</v>
      </c>
      <c r="B4" t="s">
        <v>51</v>
      </c>
      <c r="C4" t="s">
        <v>52</v>
      </c>
      <c r="D4" t="s">
        <v>50</v>
      </c>
      <c r="E4" t="s">
        <v>35</v>
      </c>
    </row>
    <row r="5" spans="1:5" x14ac:dyDescent="0.25">
      <c r="A5">
        <v>244</v>
      </c>
      <c r="B5" t="s">
        <v>54</v>
      </c>
      <c r="C5" t="s">
        <v>37</v>
      </c>
      <c r="D5" t="s">
        <v>53</v>
      </c>
      <c r="E5" t="s">
        <v>35</v>
      </c>
    </row>
    <row r="6" spans="1:5" x14ac:dyDescent="0.25">
      <c r="A6">
        <v>245</v>
      </c>
      <c r="B6" t="s">
        <v>56</v>
      </c>
      <c r="C6" t="s">
        <v>57</v>
      </c>
      <c r="D6" t="s">
        <v>55</v>
      </c>
      <c r="E6" t="s">
        <v>35</v>
      </c>
    </row>
    <row r="7" spans="1:5" x14ac:dyDescent="0.25">
      <c r="A7">
        <v>246</v>
      </c>
      <c r="B7" t="s">
        <v>41</v>
      </c>
      <c r="C7" t="s">
        <v>42</v>
      </c>
      <c r="D7" t="s">
        <v>58</v>
      </c>
      <c r="E7" t="s">
        <v>35</v>
      </c>
    </row>
    <row r="8" spans="1:5" x14ac:dyDescent="0.25">
      <c r="A8">
        <v>247</v>
      </c>
      <c r="B8" t="s">
        <v>60</v>
      </c>
      <c r="C8" t="s">
        <v>61</v>
      </c>
      <c r="D8" t="s">
        <v>59</v>
      </c>
      <c r="E8" t="s">
        <v>35</v>
      </c>
    </row>
    <row r="9" spans="1:5" x14ac:dyDescent="0.25">
      <c r="A9">
        <v>248</v>
      </c>
      <c r="B9" t="s">
        <v>426</v>
      </c>
      <c r="C9" t="s">
        <v>63</v>
      </c>
      <c r="D9" t="s">
        <v>62</v>
      </c>
      <c r="E9" t="s">
        <v>35</v>
      </c>
    </row>
    <row r="10" spans="1:5" x14ac:dyDescent="0.25">
      <c r="A10">
        <v>249</v>
      </c>
      <c r="B10" t="s">
        <v>39</v>
      </c>
      <c r="C10" t="s">
        <v>38</v>
      </c>
      <c r="D10" t="s">
        <v>64</v>
      </c>
      <c r="E10" t="s">
        <v>35</v>
      </c>
    </row>
    <row r="11" spans="1:5" x14ac:dyDescent="0.25">
      <c r="A11">
        <v>250</v>
      </c>
      <c r="B11" t="s">
        <v>66</v>
      </c>
      <c r="C11" t="s">
        <v>67</v>
      </c>
      <c r="D11" t="s">
        <v>65</v>
      </c>
      <c r="E11" t="s">
        <v>35</v>
      </c>
    </row>
    <row r="12" spans="1:5" x14ac:dyDescent="0.25">
      <c r="A12">
        <v>251</v>
      </c>
      <c r="B12" t="s">
        <v>69</v>
      </c>
      <c r="C12" t="s">
        <v>70</v>
      </c>
      <c r="D12" t="s">
        <v>68</v>
      </c>
      <c r="E12" t="s">
        <v>35</v>
      </c>
    </row>
    <row r="13" spans="1:5" x14ac:dyDescent="0.25">
      <c r="A13">
        <v>252</v>
      </c>
      <c r="B13" t="s">
        <v>13</v>
      </c>
      <c r="C13" t="s">
        <v>14</v>
      </c>
      <c r="D13" t="s">
        <v>71</v>
      </c>
      <c r="E13" t="s">
        <v>12</v>
      </c>
    </row>
    <row r="14" spans="1:5" x14ac:dyDescent="0.25">
      <c r="A14">
        <v>253</v>
      </c>
      <c r="B14" t="s">
        <v>73</v>
      </c>
      <c r="C14" t="s">
        <v>74</v>
      </c>
      <c r="D14" t="s">
        <v>72</v>
      </c>
      <c r="E14" t="s">
        <v>12</v>
      </c>
    </row>
    <row r="15" spans="1:5" x14ac:dyDescent="0.25">
      <c r="A15">
        <v>254</v>
      </c>
      <c r="B15" t="s">
        <v>24</v>
      </c>
      <c r="C15" t="s">
        <v>25</v>
      </c>
      <c r="D15" t="s">
        <v>75</v>
      </c>
      <c r="E15" t="s">
        <v>23</v>
      </c>
    </row>
    <row r="16" spans="1:5" x14ac:dyDescent="0.25">
      <c r="A16">
        <v>255</v>
      </c>
      <c r="B16" t="s">
        <v>77</v>
      </c>
      <c r="C16" t="s">
        <v>22</v>
      </c>
      <c r="D16" t="s">
        <v>76</v>
      </c>
      <c r="E16" t="s">
        <v>23</v>
      </c>
    </row>
    <row r="17" spans="1:5" x14ac:dyDescent="0.25">
      <c r="A17">
        <v>256</v>
      </c>
      <c r="B17" t="s">
        <v>79</v>
      </c>
      <c r="C17" t="s">
        <v>26</v>
      </c>
      <c r="D17" t="s">
        <v>78</v>
      </c>
      <c r="E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Marselius Agus Dhion</dc:creator>
  <cp:lastModifiedBy>Marselius Agus Dhion</cp:lastModifiedBy>
  <dcterms:created xsi:type="dcterms:W3CDTF">2015-06-05T18:17:20Z</dcterms:created>
  <dcterms:modified xsi:type="dcterms:W3CDTF">2026-01-27T08:10:38Z</dcterms:modified>
</cp:coreProperties>
</file>